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Korsatma" sheetId="1" state="visible" r:id="rId3"/>
    <sheet name="Savollar" sheetId="2" state="visible" r:id="rId4"/>
    <sheet name="Hisob_auto" sheetId="3" state="visible" r:id="rId5"/>
    <sheet name="Indikator_xaritasi" sheetId="4" state="visible" r:id="rId6"/>
    <sheet name="Royxatlar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<sst xmlns="http://schemas.openxmlformats.org/spreadsheetml/2006/main" count="543" uniqueCount="227">
  <si>
    <t xml:space="preserve">Ustun (label)</t>
  </si>
  <si>
    <t xml:space="preserve">Nima yoziladi / qanday tanlanadi</t>
  </si>
  <si>
    <t xml:space="preserve">Savol</t>
  </si>
  <si>
    <t xml:space="preserve">Q raqami (avtomatik to'ldirilgan).</t>
  </si>
  <si>
    <t xml:space="preserve">Ball</t>
  </si>
  <si>
    <t xml:space="preserve">Savolning ball qiymati (3 / 4 / 6) — to'ldirilgan.</t>
  </si>
  <si>
    <t xml:space="preserve">Qiyinchilik</t>
  </si>
  <si>
    <t xml:space="preserve">Oson = asosiy bilim/eslab qolish; O'rta = qo'llash/tahlil/bog'lash; Qiyin = ko'p bosqichli, murakkab, yuqori tahlil. (Kohort bo'lsa p-qiymat bilan tasdiqlanadi.)</t>
  </si>
  <si>
    <t xml:space="preserve">Strand</t>
  </si>
  <si>
    <t xml:space="preserve">3 katta blokdan biri (Son / Geometriya / Mantiq).</t>
  </si>
  <si>
    <t xml:space="preserve">Mavzu</t>
  </si>
  <si>
    <t xml:space="preserve">Aniq mavzu (issiqlik xaritasi shu bo'yicha). Ro'yxatdan tanlang.</t>
  </si>
  <si>
    <t xml:space="preserve">Quyi mavzu</t>
  </si>
  <si>
    <t xml:space="preserve">Erkin izoh — aniqroq quyi mavzu (diagnostika uchun).</t>
  </si>
  <si>
    <t xml:space="preserve">Asosiy ko'nikma</t>
  </si>
  <si>
    <t xml:space="preserve">Savol BIRINCHI navbatda qaysi ko'nikmani o'lchaydi (radar shu bo'yicha).</t>
  </si>
  <si>
    <t xml:space="preserve">Bloom darajasi</t>
  </si>
  <si>
    <t xml:space="preserve">Kognitiv daraja: eslab qolish -&gt; tushunish -&gt; qo'llash -&gt; tahlil -&gt; baholash -&gt; yaratish.</t>
  </si>
  <si>
    <t xml:space="preserve">Fikrlash turi</t>
  </si>
  <si>
    <t xml:space="preserve">Deduktiv (qoidadan natija), Induktiv (misoldan qoida), Analitik, Fazoviy yoki Yo'q.</t>
  </si>
  <si>
    <t xml:space="preserve">Sinf darajasi</t>
  </si>
  <si>
    <t xml:space="preserve">Savol 7-sinf, undan past yoki yuqorimi (gap tahlili shu bo'yicha).</t>
  </si>
  <si>
    <t xml:space="preserve">Xalqaro framework</t>
  </si>
  <si>
    <t xml:space="preserve">Savol qaysi xalqaro domenga mos (PISA / TIMSS / Kangaroo). Qamrov shu bo'yicha.</t>
  </si>
  <si>
    <t xml:space="preserve">Natija</t>
  </si>
  <si>
    <t xml:space="preserve">To'g'ri / Noto'g'ri / Qisman — obyektiv (to'ldirilgan).</t>
  </si>
  <si>
    <t xml:space="preserve">Olingan ball</t>
  </si>
  <si>
    <t xml:space="preserve">AVTOMATIK (formula): To'g'ri=Ball, Noto'g'ri=0, Qisman=qo'lda yozing.</t>
  </si>
  <si>
    <t xml:space="preserve">Xato turi</t>
  </si>
  <si>
    <t xml:space="preserve">Faqat xato bo'lsa: 'Texnik' (shu ko'nikmali QIYINROQ savol yechilgan bo'lsa) yoki 'Bilim bo'shlig'i'.</t>
  </si>
  <si>
    <t xml:space="preserve">Yechish vaqti (s)</t>
  </si>
  <si>
    <t xml:space="preserve">Ixtiyoriy — faqat haqiqatan o'lchangan bo'lsa. Aks holda bo'sh qoldiring.</t>
  </si>
  <si>
    <t xml:space="preserve">Dalil / nimani ko'rsatdi</t>
  </si>
  <si>
    <t xml:space="preserve">Javob nimani ko'rsatdi — qisqa izoh (hisobotdagi 'Nimani ko'rsatdi' ustuni).</t>
  </si>
  <si>
    <t xml:space="preserve">TAMOYIL</t>
  </si>
  <si>
    <t xml:space="preserve">Indikator faqat shu jadvaldagi label'lardan kelib chiqsa beriladi. n&lt;3 (yetarli savol yo'q) bo'lsa — aniq raqam emas, sifatli baho + 'past ishonch'. Vaqt/percentile/guruh o'rtachasi — faqat o'lchansa/kohort bo'lsa.</t>
  </si>
  <si>
    <t xml:space="preserve">Strand (katta blok)</t>
  </si>
  <si>
    <t xml:space="preserve">Quyi mavzu (izoh)</t>
  </si>
  <si>
    <t xml:space="preserve">Q1</t>
  </si>
  <si>
    <t xml:space="preserve">O'rta</t>
  </si>
  <si>
    <t xml:space="preserve">Son va amallar</t>
  </si>
  <si>
    <t xml:space="preserve">Algebra</t>
  </si>
  <si>
    <t xml:space="preserve">So'z birikmasini ifodaga o'girish</t>
  </si>
  <si>
    <t xml:space="preserve">Konseptual tushunish</t>
  </si>
  <si>
    <t xml:space="preserve">Tushunish</t>
  </si>
  <si>
    <t xml:space="preserve">Analitik</t>
  </si>
  <si>
    <t xml:space="preserve">7-sinf</t>
  </si>
  <si>
    <t xml:space="preserve">TIMSS: Algebra</t>
  </si>
  <si>
    <t xml:space="preserve">Q2</t>
  </si>
  <si>
    <t xml:space="preserve">Oson</t>
  </si>
  <si>
    <t xml:space="preserve">Ifoda qiymatini hisoblash (a=4)</t>
  </si>
  <si>
    <t xml:space="preserve">Protsedural ravonlik</t>
  </si>
  <si>
    <t xml:space="preserve">Qo'llash</t>
  </si>
  <si>
    <t xml:space="preserve">Q3</t>
  </si>
  <si>
    <t xml:space="preserve">Kasr amallari</t>
  </si>
  <si>
    <t xml:space="preserve">To'g'ri kasrni natural songa bo'lish</t>
  </si>
  <si>
    <t xml:space="preserve">TIMSS: Number</t>
  </si>
  <si>
    <t xml:space="preserve">Q4</t>
  </si>
  <si>
    <t xml:space="preserve">Nisbat va proporsiya</t>
  </si>
  <si>
    <t xml:space="preserve">Nisbatni soddalashtirish</t>
  </si>
  <si>
    <t xml:space="preserve">Q5</t>
  </si>
  <si>
    <t xml:space="preserve">Foiz</t>
  </si>
  <si>
    <t xml:space="preserve">Foiz orqali butun sonni topish</t>
  </si>
  <si>
    <t xml:space="preserve">Q6</t>
  </si>
  <si>
    <t xml:space="preserve">Nisbat/kasr/foiz ekvivalenti</t>
  </si>
  <si>
    <t xml:space="preserve">Q7</t>
  </si>
  <si>
    <t xml:space="preserve">O'nli kasr</t>
  </si>
  <si>
    <t xml:space="preserve">Kasr va o'nli kasrni taqqoslash</t>
  </si>
  <si>
    <t xml:space="preserve">Q8</t>
  </si>
  <si>
    <t xml:space="preserve">Geometriya va o'lchov</t>
  </si>
  <si>
    <t xml:space="preserve">Geometriya</t>
  </si>
  <si>
    <t xml:space="preserve">To'rtburchak burchaklari (360 daraja)</t>
  </si>
  <si>
    <t xml:space="preserve">TIMSS: Geometry</t>
  </si>
  <si>
    <t xml:space="preserve">Q9</t>
  </si>
  <si>
    <t xml:space="preserve">Natural sonni kasrga bo'lish</t>
  </si>
  <si>
    <t xml:space="preserve">Q10</t>
  </si>
  <si>
    <t xml:space="preserve">Aylana uzunligi (C=pi*d)</t>
  </si>
  <si>
    <t xml:space="preserve">Q11</t>
  </si>
  <si>
    <t xml:space="preserve">O'xshash hadlarni ixchamlash</t>
  </si>
  <si>
    <t xml:space="preserve">Q12</t>
  </si>
  <si>
    <t xml:space="preserve">Narxni foizga oshirish (+20%)</t>
  </si>
  <si>
    <t xml:space="preserve">PISA: Miqdor</t>
  </si>
  <si>
    <t xml:space="preserve">Q13</t>
  </si>
  <si>
    <t xml:space="preserve">Doira yuzi (S=pi*r^2)</t>
  </si>
  <si>
    <t xml:space="preserve">Q14</t>
  </si>
  <si>
    <t xml:space="preserve">Kasrni kasrga bo'lish + aralash</t>
  </si>
  <si>
    <t xml:space="preserve">Hisoblash aniqligi</t>
  </si>
  <si>
    <t xml:space="preserve">Q15</t>
  </si>
  <si>
    <t xml:space="preserve">Mantiq va muammo yechish</t>
  </si>
  <si>
    <t xml:space="preserve">So'zli masala</t>
  </si>
  <si>
    <t xml:space="preserve">Mantiqiy taqsimlash (eliminatsiya)</t>
  </si>
  <si>
    <t xml:space="preserve">Mantiqiy xulosa</t>
  </si>
  <si>
    <t xml:space="preserve">Tahlil</t>
  </si>
  <si>
    <t xml:space="preserve">Deduktiv</t>
  </si>
  <si>
    <t xml:space="preserve">Kangaroo: Mantiq</t>
  </si>
  <si>
    <t xml:space="preserve">Q16</t>
  </si>
  <si>
    <t xml:space="preserve">Nisbat bo'yicha taqsimlash (3:5)</t>
  </si>
  <si>
    <t xml:space="preserve">Muammo yechish</t>
  </si>
  <si>
    <t xml:space="preserve">Q17</t>
  </si>
  <si>
    <t xml:space="preserve">To'g'ri proporsiya (birlik narx)</t>
  </si>
  <si>
    <t xml:space="preserve">Modellashtirish</t>
  </si>
  <si>
    <t xml:space="preserve">PISA: O'zgarish</t>
  </si>
  <si>
    <t xml:space="preserve">Q18</t>
  </si>
  <si>
    <t xml:space="preserve">Qiyin</t>
  </si>
  <si>
    <t xml:space="preserve">Bosh-oyoq masalasi (2 noma'lum)</t>
  </si>
  <si>
    <t xml:space="preserve">Q19</t>
  </si>
  <si>
    <t xml:space="preserve">Qonuniyat</t>
  </si>
  <si>
    <t xml:space="preserve">Rekursiv qoida (x2 - 1)</t>
  </si>
  <si>
    <t xml:space="preserve">Induktiv</t>
  </si>
  <si>
    <t xml:space="preserve">Q20</t>
  </si>
  <si>
    <t xml:space="preserve">Chiziqli tenglama (3x+7=22)</t>
  </si>
  <si>
    <t xml:space="preserve">Q21</t>
  </si>
  <si>
    <t xml:space="preserve">Ketma-ket foiz (oshirish + chegirma)</t>
  </si>
  <si>
    <t xml:space="preserve">Q22</t>
  </si>
  <si>
    <t xml:space="preserve">Kasrga bo'lish (nechta bo'lak)</t>
  </si>
  <si>
    <t xml:space="preserve">Q23</t>
  </si>
  <si>
    <t xml:space="preserve">Tashqi burchak teoremasi</t>
  </si>
  <si>
    <t xml:space="preserve">Q24</t>
  </si>
  <si>
    <t xml:space="preserve">Yarim doira perimetri (pi*r + d)</t>
  </si>
  <si>
    <t xml:space="preserve">Q25</t>
  </si>
  <si>
    <t xml:space="preserve">Murakkab shakl yuzi (to'rtburchak + yarim doira)</t>
  </si>
  <si>
    <t xml:space="preserve">Fazoviy fikrlash</t>
  </si>
  <si>
    <t xml:space="preserve">Fazoviy</t>
  </si>
  <si>
    <t xml:space="preserve">PISA: Fazo va shakl</t>
  </si>
  <si>
    <t xml:space="preserve">Namuna: Q1 (to'g'ri) va Q19 (xato) to'ldirilgan. Qolganini shu mantiqda to'ldiring. Sariq = namuna.</t>
  </si>
  <si>
    <t xml:space="preserve">AVTOMATIK HISOB — har bir raqam 'Savollar' varag'idagi label'lardan chiqadi</t>
  </si>
  <si>
    <t xml:space="preserve">UMUMIY KO'RSATKICHLAR</t>
  </si>
  <si>
    <t xml:space="preserve">Jami savollar</t>
  </si>
  <si>
    <t xml:space="preserve">Jami ball</t>
  </si>
  <si>
    <t xml:space="preserve">Olingan ball (xom)</t>
  </si>
  <si>
    <t xml:space="preserve">To'g'ri javoblar soni</t>
  </si>
  <si>
    <t xml:space="preserve">Joriy ball foizi</t>
  </si>
  <si>
    <t xml:space="preserve">Olingan / Jami x 100</t>
  </si>
  <si>
    <t xml:space="preserve">Tuzatilgan baho</t>
  </si>
  <si>
    <t xml:space="preserve">Xom + texnik xato ballari (qaytariladigan)</t>
  </si>
  <si>
    <t xml:space="preserve">QIYINCHILIK &amp; KDI</t>
  </si>
  <si>
    <t xml:space="preserve">Toifa</t>
  </si>
  <si>
    <t xml:space="preserve">Savollar</t>
  </si>
  <si>
    <t xml:space="preserve">To'g'ri</t>
  </si>
  <si>
    <t xml:space="preserve">Foiz %</t>
  </si>
  <si>
    <t xml:space="preserve">Og'irlik</t>
  </si>
  <si>
    <t xml:space="preserve">KDI (Bilim chuqurligi indeksi)</t>
  </si>
  <si>
    <t xml:space="preserve">Og'irlikli: (to'g'ri x og'.) / (jami x og'.) x 100</t>
  </si>
  <si>
    <t xml:space="preserve">Bilim darajasi (Mastery)</t>
  </si>
  <si>
    <t xml:space="preserve">SALOHIYAT (shaffof formula)</t>
  </si>
  <si>
    <t xml:space="preserve">Salohiyat (Potential)</t>
  </si>
  <si>
    <t xml:space="preserve">(Tuzatilgan + KDI + Qiyin%) / 3 — ishonch: o'rta. Qo'lda emas, formuladan.</t>
  </si>
  <si>
    <t xml:space="preserve">STRANDLAR (fan bloklari)</t>
  </si>
  <si>
    <t xml:space="preserve">Savollar (n)</t>
  </si>
  <si>
    <t xml:space="preserve">MAVZU (issiqlik xaritasi)</t>
  </si>
  <si>
    <t xml:space="preserve">Joy qiymati</t>
  </si>
  <si>
    <t xml:space="preserve">Arifmetika</t>
  </si>
  <si>
    <t xml:space="preserve">O'lchash</t>
  </si>
  <si>
    <t xml:space="preserve">ASOSIY KO'NIKMA (radar)</t>
  </si>
  <si>
    <t xml:space="preserve">DIQQAT: n&lt;3 bo'lsa aniq foiz emas — sifatli baho + 'past ishonch' ko'rsatiladi.</t>
  </si>
  <si>
    <t xml:space="preserve">BLOOM (kognitiv daraja)</t>
  </si>
  <si>
    <t xml:space="preserve">Eslab qolish</t>
  </si>
  <si>
    <t xml:space="preserve">Baholash</t>
  </si>
  <si>
    <t xml:space="preserve">Yaratish</t>
  </si>
  <si>
    <t xml:space="preserve">FIKRLASH TURI (deduktiv/induktiv)</t>
  </si>
  <si>
    <t xml:space="preserve">n=1 bo'lsa (mas. Induktiv) — raqam emas, 'kuzatilgan, past ishonch' deb beriladi.</t>
  </si>
  <si>
    <t xml:space="preserve">SINF DARAJASI (gap tahlili)</t>
  </si>
  <si>
    <t xml:space="preserve">7-dan past</t>
  </si>
  <si>
    <t xml:space="preserve">7-dan yuqori</t>
  </si>
  <si>
    <t xml:space="preserve">XALQARO QAMROV (coverage)</t>
  </si>
  <si>
    <t xml:space="preserve">Framework domeni</t>
  </si>
  <si>
    <t xml:space="preserve">PISA: Noaniqlik</t>
  </si>
  <si>
    <t xml:space="preserve">TIMSS: Data</t>
  </si>
  <si>
    <t xml:space="preserve">Kangaroo: Arifmetika</t>
  </si>
  <si>
    <t xml:space="preserve">Kangaroo: Geometriya</t>
  </si>
  <si>
    <t xml:space="preserve">QOIDA: har bir raqam faqat shu label'lardan chiqadi. Label yo'q bo'lsa — indikator berilmaydi yoki sifatli (past ishonch) ko'rsatiladi.</t>
  </si>
  <si>
    <t xml:space="preserve">Indikator</t>
  </si>
  <si>
    <t xml:space="preserve">Manba label(lar)</t>
  </si>
  <si>
    <t xml:space="preserve">Hisoblash qoidasi</t>
  </si>
  <si>
    <t xml:space="preserve">Holat</t>
  </si>
  <si>
    <t xml:space="preserve">Joriy ball / foiz</t>
  </si>
  <si>
    <t xml:space="preserve">Olingan ball, Ball</t>
  </si>
  <si>
    <t xml:space="preserve">Olingan ball yig'indisi; foiz = olingan/jami x 100</t>
  </si>
  <si>
    <t xml:space="preserve">Hisoblanadi</t>
  </si>
  <si>
    <t xml:space="preserve">Qiyinchilik foizlari</t>
  </si>
  <si>
    <t xml:space="preserve">Qiyinchilik + Natija</t>
  </si>
  <si>
    <t xml:space="preserve">Har toifa: to'g'ri / jami x 100</t>
  </si>
  <si>
    <t xml:space="preserve">KDI (bilim chuqurligi)</t>
  </si>
  <si>
    <t xml:space="preserve">Og'irlikli: (to'g'ri x [1/2/3]) / (jami x [1/2/3]) x 100</t>
  </si>
  <si>
    <t xml:space="preserve">KDI</t>
  </si>
  <si>
    <t xml:space="preserve">KDI -&gt; 6 toifadan biri</t>
  </si>
  <si>
    <t xml:space="preserve">Xato turi + Ball</t>
  </si>
  <si>
    <t xml:space="preserve">Xom ball + 'Texnik' deb belgilangan ballar</t>
  </si>
  <si>
    <t xml:space="preserve">Mavzu heatmap</t>
  </si>
  <si>
    <t xml:space="preserve">Mavzu + Natija</t>
  </si>
  <si>
    <t xml:space="preserve">Har mavzu: to'g'ri / jami x 100</t>
  </si>
  <si>
    <t xml:space="preserve">Strand ballari</t>
  </si>
  <si>
    <t xml:space="preserve">Strand + Natija</t>
  </si>
  <si>
    <t xml:space="preserve">Har strand: to'g'ri / jami x 100</t>
  </si>
  <si>
    <t xml:space="preserve">Skill radar</t>
  </si>
  <si>
    <t xml:space="preserve">Asosiy ko'nikma + Natija</t>
  </si>
  <si>
    <t xml:space="preserve">Har ko'nikma: to'g'ri / jami</t>
  </si>
  <si>
    <t xml:space="preserve">Shartli (n&gt;=3)</t>
  </si>
  <si>
    <t xml:space="preserve">Bloom profil</t>
  </si>
  <si>
    <t xml:space="preserve">Bloom + Natija</t>
  </si>
  <si>
    <t xml:space="preserve">Har daraja: to'g'ri / jami</t>
  </si>
  <si>
    <t xml:space="preserve">Fikrlash (ded/ind/anal)</t>
  </si>
  <si>
    <t xml:space="preserve">Fikrlash turi + Natija</t>
  </si>
  <si>
    <t xml:space="preserve">Har tur: to'g'ri / jami</t>
  </si>
  <si>
    <t xml:space="preserve">Gap (past/da/yuqori)</t>
  </si>
  <si>
    <t xml:space="preserve">Sinf darajasi + Natija</t>
  </si>
  <si>
    <t xml:space="preserve">Zonalar bo'yicha to'g'ri / jami</t>
  </si>
  <si>
    <t xml:space="preserve">Xalqaro qamrov</t>
  </si>
  <si>
    <t xml:space="preserve">Har domen: nechta savol qoplagan</t>
  </si>
  <si>
    <t xml:space="preserve">Xato-turi tahlili</t>
  </si>
  <si>
    <t xml:space="preserve">Ko'nikma + Qiyinchilik + Natija</t>
  </si>
  <si>
    <t xml:space="preserve">Qiyinroq same-skill yechilgan? -&gt; Texnik, aks -&gt; Bo'shliq</t>
  </si>
  <si>
    <t xml:space="preserve">Tuzatilgan + KDI + Qiyin%</t>
  </si>
  <si>
    <t xml:space="preserve">(uchtasining o'rtachasi) — qo'lda EMAS</t>
  </si>
  <si>
    <t xml:space="preserve">Formula</t>
  </si>
  <si>
    <t xml:space="preserve">O'rtacha yechish vaqti</t>
  </si>
  <si>
    <t xml:space="preserve">Faqat o'lchangan bo'lsa o'rtacha</t>
  </si>
  <si>
    <t xml:space="preserve">Shartli (o'lchansa)</t>
  </si>
  <si>
    <t xml:space="preserve">Percentile / Guruh o'rtachasi</t>
  </si>
  <si>
    <t xml:space="preserve">(kohort kerak)</t>
  </si>
  <si>
    <t xml:space="preserve">Norma ma'lumoti yo'q</t>
  </si>
  <si>
    <t xml:space="preserve">DROP — kohort yopilgach</t>
  </si>
  <si>
    <t xml:space="preserve">Yo'q</t>
  </si>
  <si>
    <t xml:space="preserve">Noto'g'ri</t>
  </si>
  <si>
    <t xml:space="preserve">Texnik</t>
  </si>
  <si>
    <t xml:space="preserve">Qisman</t>
  </si>
  <si>
    <t xml:space="preserve">Bilim bo'shlig'i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</si>
</sst>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10"/>
      <color rgb="FF06113C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B45309"/>
      <name val="Arial"/>
      <family val="0"/>
      <charset val="1"/>
    </font>
    <font>
      <i val="true"/>
      <sz val="9"/>
      <name val="Arial"/>
      <family val="0"/>
      <charset val="1"/>
    </font>
    <font>
      <i val="true"/>
      <sz val="9"/>
      <color rgb="FF8A6D3B"/>
      <name val="Arial"/>
      <family val="0"/>
      <charset val="1"/>
    </font>
    <font>
      <b val="true"/>
      <sz val="11"/>
      <color rgb="FF06113C"/>
      <name val="Arial"/>
      <family val="0"/>
      <charset val="1"/>
    </font>
    <font>
      <i val="true"/>
      <sz val="9"/>
      <color rgb="FF6B728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06113C"/>
        <bgColor rgb="FF000000"/>
      </patternFill>
    </fill>
    <fill>
      <patternFill patternType="solid">
        <fgColor rgb="FFFFF4E6"/>
        <bgColor rgb="FFFCF3D9"/>
      </patternFill>
    </fill>
    <fill>
      <patternFill patternType="solid">
        <fgColor rgb="FF33458F"/>
        <bgColor rgb="FF333333"/>
      </patternFill>
    </fill>
    <fill>
      <patternFill patternType="solid">
        <fgColor rgb="FFE6F4EA"/>
        <bgColor rgb="FFFCF3D9"/>
      </patternFill>
    </fill>
    <fill>
      <patternFill patternType="solid">
        <fgColor rgb="FFFCF3D9"/>
        <bgColor rgb="FFFFF4E6"/>
      </patternFill>
    </fill>
    <fill>
      <patternFill patternType="solid">
        <fgColor rgb="FFFBE3E0"/>
        <bgColor rgb="FFFCF3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5DE"/>
      </left>
      <right style="thin">
        <color rgb="FFD0D5DE"/>
      </right>
      <top style="thin">
        <color rgb="FFD0D5DE"/>
      </top>
      <bottom style="thin">
        <color rgb="FFD0D5D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6113C"/>
      <rgbColor rgb="FF8A6D3B"/>
      <rgbColor rgb="FF800080"/>
      <rgbColor rgb="FF008080"/>
      <rgbColor rgb="FFC0C0C0"/>
      <rgbColor rgb="FF808080"/>
      <rgbColor rgb="FF9999FF"/>
      <rgbColor rgb="FF993366"/>
      <rgbColor rgb="FFFCF3D9"/>
      <rgbColor rgb="FFE6F4EA"/>
      <rgbColor rgb="FF660066"/>
      <rgbColor rgb="FFFF8080"/>
      <rgbColor rgb="FF0066CC"/>
      <rgbColor rgb="FFD0D5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4E6"/>
      <rgbColor rgb="FF99CCFF"/>
      <rgbColor rgb="FFFF99CC"/>
      <rgbColor rgb="FFCC99FF"/>
      <rgbColor rgb="FFFBE3E0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B45309"/>
      <rgbColor rgb="FF993366"/>
      <rgbColor rgb="FF33458F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86"/>
  </cols>
  <sheetData>
    <row r="1" customFormat="false" ht="15" hidden="false" customHeight="true" outlineLevel="0" collapsed="false">
      <c r="A1" s="2" t="s">
        <v>0</v>
      </c>
      <c r="B1" s="2" t="s">
        <v>1</v>
      </c>
    </row>
    <row r="2" customFormat="false" ht="15" hidden="false" customHeight="true" outlineLevel="0" collapsed="false">
      <c r="A2" s="3" t="s">
        <v>2</v>
      </c>
      <c r="B2" s="4" t="s">
        <v>3</v>
      </c>
    </row>
    <row r="3" customFormat="false" ht="15" hidden="false" customHeight="true" outlineLevel="0" collapsed="false">
      <c r="A3" s="3" t="s">
        <v>4</v>
      </c>
      <c r="B3" s="4" t="s">
        <v>5</v>
      </c>
    </row>
    <row r="4" customFormat="false" ht="23.25" hidden="false" customHeight="true" outlineLevel="0" collapsed="false">
      <c r="A4" s="3" t="s">
        <v>6</v>
      </c>
      <c r="B4" s="4" t="s">
        <v>7</v>
      </c>
    </row>
    <row r="5" customFormat="false" ht="15" hidden="false" customHeight="true" outlineLevel="0" collapsed="false">
      <c r="A5" s="3" t="s">
        <v>8</v>
      </c>
      <c r="B5" s="4" t="s">
        <v>9</v>
      </c>
    </row>
    <row r="6" customFormat="false" ht="15" hidden="false" customHeight="true" outlineLevel="0" collapsed="false">
      <c r="A6" s="3" t="s">
        <v>10</v>
      </c>
      <c r="B6" s="4" t="s">
        <v>11</v>
      </c>
    </row>
    <row r="7" customFormat="false" ht="15" hidden="false" customHeight="true" outlineLevel="0" collapsed="false">
      <c r="A7" s="3" t="s">
        <v>12</v>
      </c>
      <c r="B7" s="4" t="s">
        <v>13</v>
      </c>
    </row>
    <row r="8" customFormat="false" ht="15" hidden="false" customHeight="true" outlineLevel="0" collapsed="false">
      <c r="A8" s="3" t="s">
        <v>14</v>
      </c>
      <c r="B8" s="4" t="s">
        <v>15</v>
      </c>
    </row>
    <row r="9" customFormat="false" ht="15" hidden="false" customHeight="true" outlineLevel="0" collapsed="false">
      <c r="A9" s="3" t="s">
        <v>16</v>
      </c>
      <c r="B9" s="4" t="s">
        <v>17</v>
      </c>
    </row>
    <row r="10" customFormat="false" ht="15" hidden="false" customHeight="true" outlineLevel="0" collapsed="false">
      <c r="A10" s="3" t="s">
        <v>18</v>
      </c>
      <c r="B10" s="4" t="s">
        <v>19</v>
      </c>
    </row>
    <row r="11" customFormat="false" ht="15" hidden="false" customHeight="true" outlineLevel="0" collapsed="false">
      <c r="A11" s="3" t="s">
        <v>20</v>
      </c>
      <c r="B11" s="4" t="s">
        <v>21</v>
      </c>
    </row>
    <row r="12" customFormat="false" ht="15" hidden="false" customHeight="true" outlineLevel="0" collapsed="false">
      <c r="A12" s="3" t="s">
        <v>22</v>
      </c>
      <c r="B12" s="4" t="s">
        <v>23</v>
      </c>
    </row>
    <row r="13" customFormat="false" ht="15" hidden="false" customHeight="true" outlineLevel="0" collapsed="false">
      <c r="A13" s="3" t="s">
        <v>24</v>
      </c>
      <c r="B13" s="4" t="s">
        <v>25</v>
      </c>
    </row>
    <row r="14" customFormat="false" ht="15" hidden="false" customHeight="true" outlineLevel="0" collapsed="false">
      <c r="A14" s="3" t="s">
        <v>26</v>
      </c>
      <c r="B14" s="4" t="s">
        <v>27</v>
      </c>
    </row>
    <row r="15" customFormat="false" ht="15" hidden="false" customHeight="true" outlineLevel="0" collapsed="false">
      <c r="A15" s="3" t="s">
        <v>28</v>
      </c>
      <c r="B15" s="4" t="s">
        <v>29</v>
      </c>
    </row>
    <row r="16" customFormat="false" ht="15" hidden="false" customHeight="true" outlineLevel="0" collapsed="false">
      <c r="A16" s="3" t="s">
        <v>30</v>
      </c>
      <c r="B16" s="4" t="s">
        <v>31</v>
      </c>
    </row>
    <row r="17" customFormat="false" ht="15" hidden="false" customHeight="true" outlineLevel="0" collapsed="false">
      <c r="A17" s="3" t="s">
        <v>32</v>
      </c>
      <c r="B17" s="4" t="s">
        <v>33</v>
      </c>
    </row>
    <row r="19" customFormat="false" ht="21.75" hidden="false" customHeight="true" outlineLevel="0" collapsed="false">
      <c r="A19" s="5" t="s">
        <v>34</v>
      </c>
      <c r="B19" s="6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6"/>
    <col collapsed="false" customWidth="true" hidden="false" outlineLevel="0" max="3" min="3" style="1" width="11"/>
    <col collapsed="false" customWidth="true" hidden="false" outlineLevel="0" max="4" min="4" style="1" width="20"/>
    <col collapsed="false" customWidth="true" hidden="false" outlineLevel="0" max="5" min="5" style="1" width="15"/>
    <col collapsed="false" customWidth="true" hidden="false" outlineLevel="0" max="6" min="6" style="1" width="22"/>
    <col collapsed="false" customWidth="true" hidden="false" outlineLevel="0" max="7" min="7" style="1" width="18"/>
    <col collapsed="false" customWidth="true" hidden="false" outlineLevel="0" max="8" min="8" style="1" width="13"/>
    <col collapsed="false" customWidth="true" hidden="false" outlineLevel="0" max="10" min="9" style="1" width="12"/>
    <col collapsed="false" customWidth="true" hidden="false" outlineLevel="0" max="11" min="11" style="1" width="18"/>
    <col collapsed="false" customWidth="true" hidden="false" outlineLevel="0" max="13" min="12" style="1" width="11"/>
    <col collapsed="false" customWidth="true" hidden="false" outlineLevel="0" max="14" min="14" style="1" width="16"/>
    <col collapsed="false" customWidth="true" hidden="false" outlineLevel="0" max="15" min="15" style="1" width="12"/>
    <col collapsed="false" customWidth="true" hidden="false" outlineLevel="0" max="16" min="16" style="1" width="30"/>
  </cols>
  <sheetData>
    <row r="1" customFormat="false" ht="30" hidden="false" customHeight="true" outlineLevel="0" collapsed="false">
      <c r="A1" s="7" t="s">
        <v>2</v>
      </c>
      <c r="B1" s="7" t="s">
        <v>4</v>
      </c>
      <c r="C1" s="7" t="s">
        <v>6</v>
      </c>
      <c r="D1" s="7" t="s">
        <v>36</v>
      </c>
      <c r="E1" s="7" t="s">
        <v>10</v>
      </c>
      <c r="F1" s="7" t="s">
        <v>37</v>
      </c>
      <c r="G1" s="7" t="s">
        <v>14</v>
      </c>
      <c r="H1" s="7" t="s">
        <v>16</v>
      </c>
      <c r="I1" s="7" t="s">
        <v>18</v>
      </c>
      <c r="J1" s="7" t="s">
        <v>20</v>
      </c>
      <c r="K1" s="7" t="s">
        <v>22</v>
      </c>
      <c r="L1" s="7" t="s">
        <v>24</v>
      </c>
      <c r="M1" s="7" t="s">
        <v>26</v>
      </c>
      <c r="N1" s="7" t="s">
        <v>28</v>
      </c>
      <c r="O1" s="7" t="s">
        <v>30</v>
      </c>
      <c r="P1" s="7" t="s">
        <v>32</v>
      </c>
    </row>
    <row r="2" customFormat="false" ht="23.25" hidden="false" customHeight="true" outlineLevel="0" collapsed="false">
      <c r="A2" s="8" t="s">
        <v>38</v>
      </c>
      <c r="B2" s="9" t="n">
        <v>3</v>
      </c>
      <c r="C2" s="9" t="s">
        <v>39</v>
      </c>
      <c r="D2" s="9" t="s">
        <v>40</v>
      </c>
      <c r="E2" s="9" t="s">
        <v>41</v>
      </c>
      <c r="F2" s="10" t="s">
        <v>42</v>
      </c>
      <c r="G2" s="9" t="s">
        <v>43</v>
      </c>
      <c r="H2" s="9" t="s">
        <v>44</v>
      </c>
      <c r="I2" s="9" t="s">
        <v>45</v>
      </c>
      <c r="J2" s="9" t="s">
        <v>46</v>
      </c>
      <c r="K2" s="9" t="s">
        <v>47</v>
      </c>
      <c r="L2" s="9"/>
      <c r="M2" s="9" t="str">
        <f aca="false">IF($L2="","",IF($L2="To'g'ri",$B2,IF($L2="Qisman","",0)))</f>
        <v/>
      </c>
      <c r="N2" s="9"/>
      <c r="O2" s="9"/>
      <c r="P2" s="10"/>
    </row>
    <row r="3" customFormat="false" ht="15" hidden="false" customHeight="true" outlineLevel="0" collapsed="false">
      <c r="A3" s="11" t="s">
        <v>48</v>
      </c>
      <c r="B3" s="12" t="n">
        <v>3</v>
      </c>
      <c r="C3" s="12" t="s">
        <v>49</v>
      </c>
      <c r="D3" s="12" t="s">
        <v>40</v>
      </c>
      <c r="E3" s="12" t="s">
        <v>41</v>
      </c>
      <c r="F3" s="13" t="s">
        <v>50</v>
      </c>
      <c r="G3" s="12" t="s">
        <v>51</v>
      </c>
      <c r="H3" s="12" t="s">
        <v>52</v>
      </c>
      <c r="I3" s="12" t="s">
        <v>45</v>
      </c>
      <c r="J3" s="12" t="s">
        <v>46</v>
      </c>
      <c r="K3" s="12" t="s">
        <v>47</v>
      </c>
      <c r="L3" s="12"/>
      <c r="M3" s="12" t="str">
        <f aca="false">IF($L3="","",IF($L3="To'g'ri",$B3,IF($L3="Qisman","",0)))</f>
        <v/>
      </c>
      <c r="N3" s="12"/>
      <c r="O3" s="12"/>
      <c r="P3" s="13"/>
    </row>
    <row r="4" customFormat="false" ht="23.25" hidden="false" customHeight="true" outlineLevel="0" collapsed="false">
      <c r="A4" s="11" t="s">
        <v>53</v>
      </c>
      <c r="B4" s="12" t="n">
        <v>3</v>
      </c>
      <c r="C4" s="12" t="s">
        <v>49</v>
      </c>
      <c r="D4" s="12" t="s">
        <v>40</v>
      </c>
      <c r="E4" s="12" t="s">
        <v>54</v>
      </c>
      <c r="F4" s="13" t="s">
        <v>55</v>
      </c>
      <c r="G4" s="12" t="s">
        <v>51</v>
      </c>
      <c r="H4" s="12" t="s">
        <v>52</v>
      </c>
      <c r="I4" s="12" t="s">
        <v>45</v>
      </c>
      <c r="J4" s="12" t="s">
        <v>46</v>
      </c>
      <c r="K4" s="12" t="s">
        <v>56</v>
      </c>
      <c r="L4" s="12"/>
      <c r="M4" s="12" t="str">
        <f aca="false">IF($L4="","",IF($L4="To'g'ri",$B4,IF($L4="Qisman","",0)))</f>
        <v/>
      </c>
      <c r="N4" s="12"/>
      <c r="O4" s="12"/>
      <c r="P4" s="13"/>
    </row>
    <row r="5" customFormat="false" ht="15" hidden="false" customHeight="true" outlineLevel="0" collapsed="false">
      <c r="A5" s="11" t="s">
        <v>57</v>
      </c>
      <c r="B5" s="12" t="n">
        <v>3</v>
      </c>
      <c r="C5" s="12" t="s">
        <v>39</v>
      </c>
      <c r="D5" s="12" t="s">
        <v>40</v>
      </c>
      <c r="E5" s="12" t="s">
        <v>58</v>
      </c>
      <c r="F5" s="13" t="s">
        <v>59</v>
      </c>
      <c r="G5" s="12" t="s">
        <v>51</v>
      </c>
      <c r="H5" s="12" t="s">
        <v>52</v>
      </c>
      <c r="I5" s="12" t="s">
        <v>45</v>
      </c>
      <c r="J5" s="12" t="s">
        <v>46</v>
      </c>
      <c r="K5" s="12" t="s">
        <v>56</v>
      </c>
      <c r="L5" s="12"/>
      <c r="M5" s="12" t="str">
        <f aca="false">IF($L5="","",IF($L5="To'g'ri",$B5,IF($L5="Qisman","",0)))</f>
        <v/>
      </c>
      <c r="N5" s="12"/>
      <c r="O5" s="12"/>
      <c r="P5" s="13"/>
    </row>
    <row r="6" customFormat="false" ht="15" hidden="false" customHeight="true" outlineLevel="0" collapsed="false">
      <c r="A6" s="11" t="s">
        <v>60</v>
      </c>
      <c r="B6" s="12" t="n">
        <v>3</v>
      </c>
      <c r="C6" s="12" t="s">
        <v>39</v>
      </c>
      <c r="D6" s="12" t="s">
        <v>40</v>
      </c>
      <c r="E6" s="12" t="s">
        <v>61</v>
      </c>
      <c r="F6" s="13" t="s">
        <v>62</v>
      </c>
      <c r="G6" s="12" t="s">
        <v>43</v>
      </c>
      <c r="H6" s="12" t="s">
        <v>52</v>
      </c>
      <c r="I6" s="12" t="s">
        <v>45</v>
      </c>
      <c r="J6" s="12" t="s">
        <v>46</v>
      </c>
      <c r="K6" s="12" t="s">
        <v>56</v>
      </c>
      <c r="L6" s="12"/>
      <c r="M6" s="12" t="str">
        <f aca="false">IF($L6="","",IF($L6="To'g'ri",$B6,IF($L6="Qisman","",0)))</f>
        <v/>
      </c>
      <c r="N6" s="12"/>
      <c r="O6" s="12"/>
      <c r="P6" s="13"/>
    </row>
    <row r="7" customFormat="false" ht="15" hidden="false" customHeight="true" outlineLevel="0" collapsed="false">
      <c r="A7" s="11" t="s">
        <v>63</v>
      </c>
      <c r="B7" s="12" t="n">
        <v>3</v>
      </c>
      <c r="C7" s="12" t="s">
        <v>39</v>
      </c>
      <c r="D7" s="12" t="s">
        <v>40</v>
      </c>
      <c r="E7" s="12" t="s">
        <v>58</v>
      </c>
      <c r="F7" s="13" t="s">
        <v>64</v>
      </c>
      <c r="G7" s="12" t="s">
        <v>43</v>
      </c>
      <c r="H7" s="12" t="s">
        <v>44</v>
      </c>
      <c r="I7" s="12" t="s">
        <v>45</v>
      </c>
      <c r="J7" s="12" t="s">
        <v>46</v>
      </c>
      <c r="K7" s="12" t="s">
        <v>56</v>
      </c>
      <c r="L7" s="12"/>
      <c r="M7" s="12" t="str">
        <f aca="false">IF($L7="","",IF($L7="To'g'ri",$B7,IF($L7="Qisman","",0)))</f>
        <v/>
      </c>
      <c r="N7" s="12"/>
      <c r="O7" s="12"/>
      <c r="P7" s="13"/>
    </row>
    <row r="8" customFormat="false" ht="15" hidden="false" customHeight="true" outlineLevel="0" collapsed="false">
      <c r="A8" s="11" t="s">
        <v>65</v>
      </c>
      <c r="B8" s="12" t="n">
        <v>3</v>
      </c>
      <c r="C8" s="12" t="s">
        <v>39</v>
      </c>
      <c r="D8" s="12" t="s">
        <v>40</v>
      </c>
      <c r="E8" s="12" t="s">
        <v>66</v>
      </c>
      <c r="F8" s="13" t="s">
        <v>67</v>
      </c>
      <c r="G8" s="12" t="s">
        <v>43</v>
      </c>
      <c r="H8" s="12" t="s">
        <v>44</v>
      </c>
      <c r="I8" s="12" t="s">
        <v>45</v>
      </c>
      <c r="J8" s="12" t="s">
        <v>46</v>
      </c>
      <c r="K8" s="12" t="s">
        <v>56</v>
      </c>
      <c r="L8" s="12"/>
      <c r="M8" s="12" t="str">
        <f aca="false">IF($L8="","",IF($L8="To'g'ri",$B8,IF($L8="Qisman","",0)))</f>
        <v/>
      </c>
      <c r="N8" s="12"/>
      <c r="O8" s="12"/>
      <c r="P8" s="13"/>
    </row>
    <row r="9" customFormat="false" ht="23.25" hidden="false" customHeight="true" outlineLevel="0" collapsed="false">
      <c r="A9" s="11" t="s">
        <v>68</v>
      </c>
      <c r="B9" s="12" t="n">
        <v>3</v>
      </c>
      <c r="C9" s="12" t="s">
        <v>39</v>
      </c>
      <c r="D9" s="12" t="s">
        <v>69</v>
      </c>
      <c r="E9" s="12" t="s">
        <v>70</v>
      </c>
      <c r="F9" s="13" t="s">
        <v>71</v>
      </c>
      <c r="G9" s="12" t="s">
        <v>43</v>
      </c>
      <c r="H9" s="12" t="s">
        <v>52</v>
      </c>
      <c r="I9" s="12" t="s">
        <v>45</v>
      </c>
      <c r="J9" s="12" t="s">
        <v>46</v>
      </c>
      <c r="K9" s="12" t="s">
        <v>72</v>
      </c>
      <c r="L9" s="12"/>
      <c r="M9" s="12" t="str">
        <f aca="false">IF($L9="","",IF($L9="To'g'ri",$B9,IF($L9="Qisman","",0)))</f>
        <v/>
      </c>
      <c r="N9" s="12"/>
      <c r="O9" s="12"/>
      <c r="P9" s="13"/>
    </row>
    <row r="10" customFormat="false" ht="15" hidden="false" customHeight="true" outlineLevel="0" collapsed="false">
      <c r="A10" s="11" t="s">
        <v>73</v>
      </c>
      <c r="B10" s="12" t="n">
        <v>3</v>
      </c>
      <c r="C10" s="12" t="s">
        <v>39</v>
      </c>
      <c r="D10" s="12" t="s">
        <v>40</v>
      </c>
      <c r="E10" s="12" t="s">
        <v>54</v>
      </c>
      <c r="F10" s="13" t="s">
        <v>74</v>
      </c>
      <c r="G10" s="12" t="s">
        <v>51</v>
      </c>
      <c r="H10" s="12" t="s">
        <v>52</v>
      </c>
      <c r="I10" s="12" t="s">
        <v>45</v>
      </c>
      <c r="J10" s="12" t="s">
        <v>46</v>
      </c>
      <c r="K10" s="12" t="s">
        <v>56</v>
      </c>
      <c r="L10" s="12"/>
      <c r="M10" s="12" t="str">
        <f aca="false">IF($L10="","",IF($L10="To'g'ri",$B10,IF($L10="Qisman","",0)))</f>
        <v/>
      </c>
      <c r="N10" s="12"/>
      <c r="O10" s="12"/>
      <c r="P10" s="13"/>
    </row>
    <row r="11" customFormat="false" ht="15" hidden="false" customHeight="true" outlineLevel="0" collapsed="false">
      <c r="A11" s="11" t="s">
        <v>75</v>
      </c>
      <c r="B11" s="12" t="n">
        <v>3</v>
      </c>
      <c r="C11" s="12" t="s">
        <v>39</v>
      </c>
      <c r="D11" s="12" t="s">
        <v>69</v>
      </c>
      <c r="E11" s="12" t="s">
        <v>70</v>
      </c>
      <c r="F11" s="13" t="s">
        <v>76</v>
      </c>
      <c r="G11" s="12" t="s">
        <v>51</v>
      </c>
      <c r="H11" s="12" t="s">
        <v>52</v>
      </c>
      <c r="I11" s="12" t="s">
        <v>45</v>
      </c>
      <c r="J11" s="12" t="s">
        <v>46</v>
      </c>
      <c r="K11" s="12" t="s">
        <v>72</v>
      </c>
      <c r="L11" s="12"/>
      <c r="M11" s="12" t="str">
        <f aca="false">IF($L11="","",IF($L11="To'g'ri",$B11,IF($L11="Qisman","",0)))</f>
        <v/>
      </c>
      <c r="N11" s="12"/>
      <c r="O11" s="12"/>
      <c r="P11" s="13"/>
    </row>
    <row r="12" customFormat="false" ht="23.25" hidden="false" customHeight="true" outlineLevel="0" collapsed="false">
      <c r="A12" s="11" t="s">
        <v>77</v>
      </c>
      <c r="B12" s="12" t="n">
        <v>4</v>
      </c>
      <c r="C12" s="12" t="s">
        <v>39</v>
      </c>
      <c r="D12" s="12" t="s">
        <v>40</v>
      </c>
      <c r="E12" s="12" t="s">
        <v>41</v>
      </c>
      <c r="F12" s="13" t="s">
        <v>78</v>
      </c>
      <c r="G12" s="12" t="s">
        <v>51</v>
      </c>
      <c r="H12" s="12" t="s">
        <v>52</v>
      </c>
      <c r="I12" s="12" t="s">
        <v>45</v>
      </c>
      <c r="J12" s="12" t="s">
        <v>46</v>
      </c>
      <c r="K12" s="12" t="s">
        <v>47</v>
      </c>
      <c r="L12" s="12"/>
      <c r="M12" s="12" t="str">
        <f aca="false">IF($L12="","",IF($L12="To'g'ri",$B12,IF($L12="Qisman","",0)))</f>
        <v/>
      </c>
      <c r="N12" s="12"/>
      <c r="O12" s="12"/>
      <c r="P12" s="13"/>
    </row>
    <row r="13" customFormat="false" ht="15" hidden="false" customHeight="true" outlineLevel="0" collapsed="false">
      <c r="A13" s="11" t="s">
        <v>79</v>
      </c>
      <c r="B13" s="12" t="n">
        <v>4</v>
      </c>
      <c r="C13" s="12" t="s">
        <v>39</v>
      </c>
      <c r="D13" s="12" t="s">
        <v>40</v>
      </c>
      <c r="E13" s="12" t="s">
        <v>61</v>
      </c>
      <c r="F13" s="13" t="s">
        <v>80</v>
      </c>
      <c r="G13" s="12" t="s">
        <v>43</v>
      </c>
      <c r="H13" s="12" t="s">
        <v>52</v>
      </c>
      <c r="I13" s="12" t="s">
        <v>45</v>
      </c>
      <c r="J13" s="12" t="s">
        <v>46</v>
      </c>
      <c r="K13" s="12" t="s">
        <v>81</v>
      </c>
      <c r="L13" s="12"/>
      <c r="M13" s="12" t="str">
        <f aca="false">IF($L13="","",IF($L13="To'g'ri",$B13,IF($L13="Qisman","",0)))</f>
        <v/>
      </c>
      <c r="N13" s="12"/>
      <c r="O13" s="12"/>
      <c r="P13" s="13"/>
    </row>
    <row r="14" customFormat="false" ht="15" hidden="false" customHeight="true" outlineLevel="0" collapsed="false">
      <c r="A14" s="11" t="s">
        <v>82</v>
      </c>
      <c r="B14" s="12" t="n">
        <v>4</v>
      </c>
      <c r="C14" s="12" t="s">
        <v>39</v>
      </c>
      <c r="D14" s="12" t="s">
        <v>69</v>
      </c>
      <c r="E14" s="12" t="s">
        <v>70</v>
      </c>
      <c r="F14" s="13" t="s">
        <v>83</v>
      </c>
      <c r="G14" s="12" t="s">
        <v>51</v>
      </c>
      <c r="H14" s="12" t="s">
        <v>52</v>
      </c>
      <c r="I14" s="12" t="s">
        <v>45</v>
      </c>
      <c r="J14" s="12" t="s">
        <v>46</v>
      </c>
      <c r="K14" s="12" t="s">
        <v>72</v>
      </c>
      <c r="L14" s="12"/>
      <c r="M14" s="12" t="str">
        <f aca="false">IF($L14="","",IF($L14="To'g'ri",$B14,IF($L14="Qisman","",0)))</f>
        <v/>
      </c>
      <c r="N14" s="12"/>
      <c r="O14" s="12"/>
      <c r="P14" s="13"/>
    </row>
    <row r="15" customFormat="false" ht="15" hidden="false" customHeight="true" outlineLevel="0" collapsed="false">
      <c r="A15" s="11" t="s">
        <v>84</v>
      </c>
      <c r="B15" s="12" t="n">
        <v>4</v>
      </c>
      <c r="C15" s="12" t="s">
        <v>39</v>
      </c>
      <c r="D15" s="12" t="s">
        <v>40</v>
      </c>
      <c r="E15" s="12" t="s">
        <v>54</v>
      </c>
      <c r="F15" s="13" t="s">
        <v>85</v>
      </c>
      <c r="G15" s="12" t="s">
        <v>86</v>
      </c>
      <c r="H15" s="12" t="s">
        <v>52</v>
      </c>
      <c r="I15" s="12" t="s">
        <v>45</v>
      </c>
      <c r="J15" s="12" t="s">
        <v>46</v>
      </c>
      <c r="K15" s="12" t="s">
        <v>56</v>
      </c>
      <c r="L15" s="12"/>
      <c r="M15" s="12" t="str">
        <f aca="false">IF($L15="","",IF($L15="To'g'ri",$B15,IF($L15="Qisman","",0)))</f>
        <v/>
      </c>
      <c r="N15" s="12"/>
      <c r="O15" s="12"/>
      <c r="P15" s="13"/>
    </row>
    <row r="16" customFormat="false" ht="15" hidden="false" customHeight="true" outlineLevel="0" collapsed="false">
      <c r="A16" s="11" t="s">
        <v>87</v>
      </c>
      <c r="B16" s="12" t="n">
        <v>4</v>
      </c>
      <c r="C16" s="12" t="s">
        <v>39</v>
      </c>
      <c r="D16" s="12" t="s">
        <v>88</v>
      </c>
      <c r="E16" s="12" t="s">
        <v>89</v>
      </c>
      <c r="F16" s="13" t="s">
        <v>90</v>
      </c>
      <c r="G16" s="12" t="s">
        <v>91</v>
      </c>
      <c r="H16" s="12" t="s">
        <v>92</v>
      </c>
      <c r="I16" s="12" t="s">
        <v>93</v>
      </c>
      <c r="J16" s="12" t="s">
        <v>46</v>
      </c>
      <c r="K16" s="12" t="s">
        <v>94</v>
      </c>
      <c r="L16" s="12"/>
      <c r="M16" s="12" t="str">
        <f aca="false">IF($L16="","",IF($L16="To'g'ri",$B16,IF($L16="Qisman","",0)))</f>
        <v/>
      </c>
      <c r="N16" s="12"/>
      <c r="O16" s="12"/>
      <c r="P16" s="13"/>
    </row>
    <row r="17" customFormat="false" ht="15" hidden="false" customHeight="true" outlineLevel="0" collapsed="false">
      <c r="A17" s="11" t="s">
        <v>95</v>
      </c>
      <c r="B17" s="12" t="n">
        <v>4</v>
      </c>
      <c r="C17" s="12" t="s">
        <v>39</v>
      </c>
      <c r="D17" s="12" t="s">
        <v>40</v>
      </c>
      <c r="E17" s="12" t="s">
        <v>58</v>
      </c>
      <c r="F17" s="13" t="s">
        <v>96</v>
      </c>
      <c r="G17" s="12" t="s">
        <v>97</v>
      </c>
      <c r="H17" s="12" t="s">
        <v>52</v>
      </c>
      <c r="I17" s="12" t="s">
        <v>45</v>
      </c>
      <c r="J17" s="12" t="s">
        <v>46</v>
      </c>
      <c r="K17" s="12" t="s">
        <v>81</v>
      </c>
      <c r="L17" s="12"/>
      <c r="M17" s="12" t="str">
        <f aca="false">IF($L17="","",IF($L17="To'g'ri",$B17,IF($L17="Qisman","",0)))</f>
        <v/>
      </c>
      <c r="N17" s="12"/>
      <c r="O17" s="12"/>
      <c r="P17" s="13"/>
    </row>
    <row r="18" customFormat="false" ht="15" hidden="false" customHeight="true" outlineLevel="0" collapsed="false">
      <c r="A18" s="11" t="s">
        <v>98</v>
      </c>
      <c r="B18" s="12" t="n">
        <v>4</v>
      </c>
      <c r="C18" s="12" t="s">
        <v>39</v>
      </c>
      <c r="D18" s="12" t="s">
        <v>40</v>
      </c>
      <c r="E18" s="12" t="s">
        <v>58</v>
      </c>
      <c r="F18" s="13" t="s">
        <v>99</v>
      </c>
      <c r="G18" s="12" t="s">
        <v>100</v>
      </c>
      <c r="H18" s="12" t="s">
        <v>52</v>
      </c>
      <c r="I18" s="12" t="s">
        <v>45</v>
      </c>
      <c r="J18" s="12" t="s">
        <v>46</v>
      </c>
      <c r="K18" s="12" t="s">
        <v>101</v>
      </c>
      <c r="L18" s="12"/>
      <c r="M18" s="12" t="str">
        <f aca="false">IF($L18="","",IF($L18="To'g'ri",$B18,IF($L18="Qisman","",0)))</f>
        <v/>
      </c>
      <c r="N18" s="12"/>
      <c r="O18" s="12"/>
      <c r="P18" s="13"/>
    </row>
    <row r="19" customFormat="false" ht="23.25" hidden="false" customHeight="true" outlineLevel="0" collapsed="false">
      <c r="A19" s="11" t="s">
        <v>102</v>
      </c>
      <c r="B19" s="12" t="n">
        <v>4</v>
      </c>
      <c r="C19" s="12" t="s">
        <v>103</v>
      </c>
      <c r="D19" s="12" t="s">
        <v>88</v>
      </c>
      <c r="E19" s="12" t="s">
        <v>89</v>
      </c>
      <c r="F19" s="13" t="s">
        <v>104</v>
      </c>
      <c r="G19" s="12" t="s">
        <v>97</v>
      </c>
      <c r="H19" s="12" t="s">
        <v>92</v>
      </c>
      <c r="I19" s="12" t="s">
        <v>45</v>
      </c>
      <c r="J19" s="12" t="s">
        <v>46</v>
      </c>
      <c r="K19" s="12" t="s">
        <v>47</v>
      </c>
      <c r="L19" s="12"/>
      <c r="M19" s="12" t="str">
        <f aca="false">IF($L19="","",IF($L19="To'g'ri",$B19,IF($L19="Qisman","",0)))</f>
        <v/>
      </c>
      <c r="N19" s="12"/>
      <c r="O19" s="12"/>
      <c r="P19" s="13"/>
    </row>
    <row r="20" customFormat="false" ht="23.25" hidden="false" customHeight="true" outlineLevel="0" collapsed="false">
      <c r="A20" s="8" t="s">
        <v>105</v>
      </c>
      <c r="B20" s="9" t="n">
        <v>4</v>
      </c>
      <c r="C20" s="9" t="s">
        <v>39</v>
      </c>
      <c r="D20" s="9" t="s">
        <v>88</v>
      </c>
      <c r="E20" s="9" t="s">
        <v>106</v>
      </c>
      <c r="F20" s="10" t="s">
        <v>107</v>
      </c>
      <c r="G20" s="9" t="s">
        <v>91</v>
      </c>
      <c r="H20" s="9" t="s">
        <v>92</v>
      </c>
      <c r="I20" s="9" t="s">
        <v>108</v>
      </c>
      <c r="J20" s="9" t="s">
        <v>46</v>
      </c>
      <c r="K20" s="9" t="s">
        <v>47</v>
      </c>
      <c r="L20" s="9"/>
      <c r="M20" s="9" t="str">
        <f aca="false">IF($L20="","",IF($L20="To'g'ri",$B20,IF($L20="Qisman","",0)))</f>
        <v/>
      </c>
      <c r="N20" s="9"/>
      <c r="O20" s="9"/>
      <c r="P20" s="10"/>
    </row>
    <row r="21" customFormat="false" ht="23.25" hidden="false" customHeight="true" outlineLevel="0" collapsed="false">
      <c r="A21" s="11" t="s">
        <v>109</v>
      </c>
      <c r="B21" s="12" t="n">
        <v>4</v>
      </c>
      <c r="C21" s="12" t="s">
        <v>39</v>
      </c>
      <c r="D21" s="12" t="s">
        <v>40</v>
      </c>
      <c r="E21" s="12" t="s">
        <v>41</v>
      </c>
      <c r="F21" s="13" t="s">
        <v>110</v>
      </c>
      <c r="G21" s="12" t="s">
        <v>51</v>
      </c>
      <c r="H21" s="12" t="s">
        <v>52</v>
      </c>
      <c r="I21" s="12" t="s">
        <v>45</v>
      </c>
      <c r="J21" s="12" t="s">
        <v>46</v>
      </c>
      <c r="K21" s="12" t="s">
        <v>47</v>
      </c>
      <c r="L21" s="12"/>
      <c r="M21" s="12" t="str">
        <f aca="false">IF($L21="","",IF($L21="To'g'ri",$B21,IF($L21="Qisman","",0)))</f>
        <v/>
      </c>
      <c r="N21" s="12"/>
      <c r="O21" s="12"/>
      <c r="P21" s="13"/>
    </row>
    <row r="22" customFormat="false" ht="23.25" hidden="false" customHeight="true" outlineLevel="0" collapsed="false">
      <c r="A22" s="11" t="s">
        <v>111</v>
      </c>
      <c r="B22" s="12" t="n">
        <v>6</v>
      </c>
      <c r="C22" s="12" t="s">
        <v>103</v>
      </c>
      <c r="D22" s="12" t="s">
        <v>40</v>
      </c>
      <c r="E22" s="12" t="s">
        <v>61</v>
      </c>
      <c r="F22" s="13" t="s">
        <v>112</v>
      </c>
      <c r="G22" s="12" t="s">
        <v>97</v>
      </c>
      <c r="H22" s="12" t="s">
        <v>52</v>
      </c>
      <c r="I22" s="12" t="s">
        <v>45</v>
      </c>
      <c r="J22" s="12" t="s">
        <v>46</v>
      </c>
      <c r="K22" s="12" t="s">
        <v>81</v>
      </c>
      <c r="L22" s="12"/>
      <c r="M22" s="12" t="str">
        <f aca="false">IF($L22="","",IF($L22="To'g'ri",$B22,IF($L22="Qisman","",0)))</f>
        <v/>
      </c>
      <c r="N22" s="12"/>
      <c r="O22" s="12"/>
      <c r="P22" s="13"/>
    </row>
    <row r="23" customFormat="false" ht="15" hidden="false" customHeight="true" outlineLevel="0" collapsed="false">
      <c r="A23" s="11" t="s">
        <v>113</v>
      </c>
      <c r="B23" s="12" t="n">
        <v>6</v>
      </c>
      <c r="C23" s="12" t="s">
        <v>39</v>
      </c>
      <c r="D23" s="12" t="s">
        <v>40</v>
      </c>
      <c r="E23" s="12" t="s">
        <v>54</v>
      </c>
      <c r="F23" s="13" t="s">
        <v>114</v>
      </c>
      <c r="G23" s="12" t="s">
        <v>43</v>
      </c>
      <c r="H23" s="12" t="s">
        <v>52</v>
      </c>
      <c r="I23" s="12" t="s">
        <v>45</v>
      </c>
      <c r="J23" s="12" t="s">
        <v>46</v>
      </c>
      <c r="K23" s="12" t="s">
        <v>81</v>
      </c>
      <c r="L23" s="12"/>
      <c r="M23" s="12" t="str">
        <f aca="false">IF($L23="","",IF($L23="To'g'ri",$B23,IF($L23="Qisman","",0)))</f>
        <v/>
      </c>
      <c r="N23" s="12"/>
      <c r="O23" s="12"/>
      <c r="P23" s="13"/>
    </row>
    <row r="24" customFormat="false" ht="23.25" hidden="false" customHeight="true" outlineLevel="0" collapsed="false">
      <c r="A24" s="11" t="s">
        <v>115</v>
      </c>
      <c r="B24" s="12" t="n">
        <v>6</v>
      </c>
      <c r="C24" s="12" t="s">
        <v>103</v>
      </c>
      <c r="D24" s="12" t="s">
        <v>69</v>
      </c>
      <c r="E24" s="12" t="s">
        <v>70</v>
      </c>
      <c r="F24" s="13" t="s">
        <v>116</v>
      </c>
      <c r="G24" s="12" t="s">
        <v>43</v>
      </c>
      <c r="H24" s="12" t="s">
        <v>92</v>
      </c>
      <c r="I24" s="12" t="s">
        <v>45</v>
      </c>
      <c r="J24" s="12" t="s">
        <v>46</v>
      </c>
      <c r="K24" s="12" t="s">
        <v>72</v>
      </c>
      <c r="L24" s="12"/>
      <c r="M24" s="12" t="str">
        <f aca="false">IF($L24="","",IF($L24="To'g'ri",$B24,IF($L24="Qisman","",0)))</f>
        <v/>
      </c>
      <c r="N24" s="12"/>
      <c r="O24" s="12"/>
      <c r="P24" s="13"/>
    </row>
    <row r="25" customFormat="false" ht="15" hidden="false" customHeight="true" outlineLevel="0" collapsed="false">
      <c r="A25" s="11" t="s">
        <v>117</v>
      </c>
      <c r="B25" s="12" t="n">
        <v>6</v>
      </c>
      <c r="C25" s="12" t="s">
        <v>103</v>
      </c>
      <c r="D25" s="12" t="s">
        <v>69</v>
      </c>
      <c r="E25" s="12" t="s">
        <v>70</v>
      </c>
      <c r="F25" s="13" t="s">
        <v>118</v>
      </c>
      <c r="G25" s="12" t="s">
        <v>43</v>
      </c>
      <c r="H25" s="12" t="s">
        <v>92</v>
      </c>
      <c r="I25" s="12" t="s">
        <v>45</v>
      </c>
      <c r="J25" s="12" t="s">
        <v>46</v>
      </c>
      <c r="K25" s="12" t="s">
        <v>72</v>
      </c>
      <c r="L25" s="12"/>
      <c r="M25" s="12" t="str">
        <f aca="false">IF($L25="","",IF($L25="To'g'ri",$B25,IF($L25="Qisman","",0)))</f>
        <v/>
      </c>
      <c r="N25" s="12"/>
      <c r="O25" s="12"/>
      <c r="P25" s="13"/>
    </row>
    <row r="26" customFormat="false" ht="15" hidden="false" customHeight="true" outlineLevel="0" collapsed="false">
      <c r="A26" s="11" t="s">
        <v>119</v>
      </c>
      <c r="B26" s="12" t="n">
        <v>6</v>
      </c>
      <c r="C26" s="12" t="s">
        <v>103</v>
      </c>
      <c r="D26" s="12" t="s">
        <v>69</v>
      </c>
      <c r="E26" s="12" t="s">
        <v>70</v>
      </c>
      <c r="F26" s="13" t="s">
        <v>120</v>
      </c>
      <c r="G26" s="12" t="s">
        <v>121</v>
      </c>
      <c r="H26" s="12" t="s">
        <v>92</v>
      </c>
      <c r="I26" s="12" t="s">
        <v>122</v>
      </c>
      <c r="J26" s="12" t="s">
        <v>46</v>
      </c>
      <c r="K26" s="12" t="s">
        <v>123</v>
      </c>
      <c r="L26" s="12"/>
      <c r="M26" s="12" t="str">
        <f aca="false">IF($L26="","",IF($L26="To'g'ri",$B26,IF($L26="Qisman","",0)))</f>
        <v/>
      </c>
      <c r="N26" s="12"/>
      <c r="O26" s="12"/>
      <c r="P26" s="13"/>
    </row>
    <row r="28" customFormat="false" ht="15" hidden="false" customHeight="true" outlineLevel="0" collapsed="false">
      <c r="A28" s="14" t="s">
        <v>124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</row>
  </sheetData>
  <mergeCells count="1">
    <mergeCell ref="A28:P28"/>
  </mergeCells>
  <dataValidations count="10">
    <dataValidation allowBlank="true" error="Ro'yxatdan tanlang" errorStyle="stop" operator="between" prompt="Ro'yxatdan tanlang" showDropDown="false" showErrorMessage="false" showInputMessage="false" sqref="C2:C26" type="list">
      <formula1>"Oson,O'rta,Qiyin"</formula1>
      <formula2>0</formula2>
    </dataValidation>
    <dataValidation allowBlank="true" error="Ro'yxatdan tanlang" errorStyle="stop" operator="between" prompt="Ro'yxatdan tanlang" showDropDown="false" showErrorMessage="false" showInputMessage="false" sqref="D2:D26" type="list">
      <formula1>"Son va amallar,Geometriya va o'lchov,Mantiq va muammo yechish"</formula1>
      <formula2>0</formula2>
    </dataValidation>
    <dataValidation allowBlank="true" error="Ro'yxatdan tanlang" errorStyle="stop" operator="between" prompt="Ro'yxatdan tanlang" showDropDown="false" showErrorMessage="false" showInputMessage="false" sqref="E2:E26" type="list">
      <formula1>"Joy qiymati,Arifmetika,O'nli kasr,Foiz,Kasr amallari,O'lchash,Geometriya,Qonuniyat,Nisbat va proporsiya,So'zli masala,Algebra"</formula1>
      <formula2>0</formula2>
    </dataValidation>
    <dataValidation allowBlank="true" error="Ro'yxatdan tanlang" errorStyle="stop" operator="between" prompt="Ro'yxatdan tanlang" showDropDown="false" showErrorMessage="false" showInputMessage="false" sqref="G2:G26" type="list">
      <formula1>"Protsedural ravonlik,Konseptual tushunish,Muammo yechish,Mantiqiy xulosa,Fazoviy fikrlash,Modellashtirish,Hisoblash aniqligi"</formula1>
      <formula2>0</formula2>
    </dataValidation>
    <dataValidation allowBlank="true" error="Ro'yxatdan tanlang" errorStyle="stop" operator="between" prompt="Ro'yxatdan tanlang" showDropDown="false" showErrorMessage="false" showInputMessage="false" sqref="H2:H26" type="list">
      <formula1>"Eslab qolish,Tushunish,Qo'llash,Tahlil,Baholash,Yaratish"</formula1>
      <formula2>0</formula2>
    </dataValidation>
    <dataValidation allowBlank="true" error="Ro'yxatdan tanlang" errorStyle="stop" operator="between" prompt="Ro'yxatdan tanlang" showDropDown="false" showErrorMessage="false" showInputMessage="false" sqref="I2:I26" type="list">
      <formula1>"Deduktiv,Induktiv,Analitik,Fazoviy,Yo'q"</formula1>
      <formula2>0</formula2>
    </dataValidation>
    <dataValidation allowBlank="true" error="Ro'yxatdan tanlang" errorStyle="stop" operator="between" prompt="Ro'yxatdan tanlang" showDropDown="false" showErrorMessage="false" showInputMessage="false" sqref="J2:J26" type="list">
      <formula1>"7-dan past,7-sinf,7-dan yuqori"</formula1>
      <formula2>0</formula2>
    </dataValidation>
    <dataValidation allowBlank="true" error="Ro'yxatdan tanlang" errorStyle="stop" operator="between" prompt="Ro'yxatdan tanlang" showDropDown="false" showErrorMessage="false" showInputMessage="false" sqref="K2:K26" type="list">
      <formula1>"PISA: Miqdor,PISA: O'zgarish,PISA: Fazo va shakl,PISA: Noaniqlik,TIMSS: Number,TIMSS: Algebra,TIMSS: Geometry,TIMSS: Data,Kangaroo: Arifmetika,Kangaroo: Mantiq,Kangaroo: Geometriya,Yo'q"</formula1>
      <formula2>0</formula2>
    </dataValidation>
    <dataValidation allowBlank="true" error="Ro'yxatdan tanlang" errorStyle="stop" operator="between" prompt="Ro'yxatdan tanlang" showDropDown="false" showErrorMessage="false" showInputMessage="false" sqref="L2:L26" type="list">
      <formula1>"To'g'ri,Noto'g'ri,Qisman"</formula1>
      <formula2>0</formula2>
    </dataValidation>
    <dataValidation allowBlank="true" error="Ro'yxatdan tanlang" errorStyle="stop" operator="between" prompt="Ro'yxatdan tanlang" showDropDown="false" showErrorMessage="false" showInputMessage="false" sqref="N2:N26" type="list">
      <formula1>"Yo'q,Texnik,Bilim bo'shlig'i"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4" min="2" style="1" width="12"/>
    <col collapsed="false" customWidth="true" hidden="false" outlineLevel="0" max="5" min="5" style="1" width="40"/>
  </cols>
  <sheetData>
    <row r="1" customFormat="false" ht="15" hidden="false" customHeight="true" outlineLevel="0" collapsed="false">
      <c r="A1" s="15" t="s">
        <v>125</v>
      </c>
    </row>
    <row r="3" customFormat="false" ht="15" hidden="false" customHeight="true" outlineLevel="0" collapsed="false">
      <c r="A3" s="16" t="s">
        <v>126</v>
      </c>
      <c r="B3" s="17"/>
      <c r="C3" s="17"/>
      <c r="D3" s="17"/>
      <c r="E3" s="17"/>
    </row>
    <row r="4" customFormat="false" ht="15" hidden="false" customHeight="true" outlineLevel="0" collapsed="false">
      <c r="A4" s="3" t="s">
        <v>127</v>
      </c>
      <c r="B4" s="18" t="n">
        <f aca="false">COUNTA(Savollar!$A$2:$A$26)</f>
        <v>25</v>
      </c>
    </row>
    <row r="5" customFormat="false" ht="15" hidden="false" customHeight="true" outlineLevel="0" collapsed="false">
      <c r="A5" s="3" t="s">
        <v>128</v>
      </c>
      <c r="B5" s="18" t="n">
        <f aca="false">SUM(Savollar!$B$2:$B$26)</f>
        <v>100</v>
      </c>
    </row>
    <row r="6" customFormat="false" ht="15" hidden="false" customHeight="true" outlineLevel="0" collapsed="false">
      <c r="A6" s="3" t="s">
        <v>129</v>
      </c>
      <c r="B6" s="18" t="n">
        <f aca="false">SUM(Savollar!$M$2:$M$26)</f>
        <v>0</v>
      </c>
    </row>
    <row r="7" customFormat="false" ht="15" hidden="false" customHeight="true" outlineLevel="0" collapsed="false">
      <c r="A7" s="3" t="s">
        <v>130</v>
      </c>
      <c r="B7" s="18" t="n">
        <f aca="false">COUNTIF(Savollar!$L$2:$L$26,"To'g'ri")</f>
        <v>0</v>
      </c>
    </row>
    <row r="8" customFormat="false" ht="15" hidden="false" customHeight="true" outlineLevel="0" collapsed="false">
      <c r="A8" s="3" t="s">
        <v>131</v>
      </c>
      <c r="B8" s="18" t="n">
        <f aca="false">IFERROR(ROUND(B6/B5*100,0),"")</f>
        <v>0</v>
      </c>
      <c r="E8" s="19" t="s">
        <v>132</v>
      </c>
    </row>
    <row r="9" customFormat="false" ht="15" hidden="false" customHeight="true" outlineLevel="0" collapsed="false">
      <c r="A9" s="3" t="s">
        <v>133</v>
      </c>
      <c r="B9" s="18" t="n">
        <f aca="false">IFERROR(B6+SUMIFS(Savollar!$B$2:$B$26,Savollar!$N$2:$N$26,"Texnik"),"")</f>
        <v>0</v>
      </c>
      <c r="E9" s="19" t="s">
        <v>134</v>
      </c>
    </row>
    <row r="11" customFormat="false" ht="15" hidden="false" customHeight="true" outlineLevel="0" collapsed="false">
      <c r="A11" s="16" t="s">
        <v>135</v>
      </c>
      <c r="B11" s="17"/>
      <c r="C11" s="17"/>
      <c r="D11" s="17"/>
      <c r="E11" s="17"/>
    </row>
    <row r="12" customFormat="false" ht="15" hidden="false" customHeight="true" outlineLevel="0" collapsed="false">
      <c r="A12" s="2" t="s">
        <v>136</v>
      </c>
      <c r="B12" s="2" t="s">
        <v>137</v>
      </c>
      <c r="C12" s="2" t="s">
        <v>138</v>
      </c>
      <c r="D12" s="2" t="s">
        <v>139</v>
      </c>
      <c r="E12" s="2" t="s">
        <v>140</v>
      </c>
    </row>
    <row r="13" customFormat="false" ht="15" hidden="false" customHeight="true" outlineLevel="0" collapsed="false">
      <c r="A13" s="3" t="s">
        <v>49</v>
      </c>
      <c r="B13" s="1" t="n">
        <f aca="false">COUNTIF(Savollar!$C$2:$C$26,"Oson")</f>
        <v>2</v>
      </c>
      <c r="C13" s="1" t="n">
        <f aca="false">COUNTIFS(Savollar!$C$2:$C$26,"Oson",Savollar!$L$2:$L$26,"To'g'ri")</f>
        <v>0</v>
      </c>
      <c r="D13" s="1" t="n">
        <f aca="false">IFERROR(ROUND(C13/B13*100,0),"")</f>
        <v>0</v>
      </c>
      <c r="E13" s="18" t="n">
        <v>1</v>
      </c>
    </row>
    <row r="14" customFormat="false" ht="15" hidden="false" customHeight="true" outlineLevel="0" collapsed="false">
      <c r="A14" s="3" t="s">
        <v>39</v>
      </c>
      <c r="B14" s="1" t="n">
        <f aca="false">COUNTIF(Savollar!$C$2:$C$26,"O'rta")</f>
        <v>18</v>
      </c>
      <c r="C14" s="1" t="n">
        <f aca="false">COUNTIFS(Savollar!$C$2:$C$26,"O'rta",Savollar!$L$2:$L$26,"To'g'ri")</f>
        <v>0</v>
      </c>
      <c r="D14" s="1" t="n">
        <f aca="false">IFERROR(ROUND(C14/B14*100,0),"")</f>
        <v>0</v>
      </c>
      <c r="E14" s="18" t="n">
        <v>2</v>
      </c>
    </row>
    <row r="15" customFormat="false" ht="15" hidden="false" customHeight="true" outlineLevel="0" collapsed="false">
      <c r="A15" s="3" t="s">
        <v>103</v>
      </c>
      <c r="B15" s="1" t="n">
        <f aca="false">COUNTIF(Savollar!$C$2:$C$26,"Qiyin")</f>
        <v>5</v>
      </c>
      <c r="C15" s="1" t="n">
        <f aca="false">COUNTIFS(Savollar!$C$2:$C$26,"Qiyin",Savollar!$L$2:$L$26,"To'g'ri")</f>
        <v>0</v>
      </c>
      <c r="D15" s="1" t="n">
        <f aca="false">IFERROR(ROUND(C15/B15*100,0),"")</f>
        <v>0</v>
      </c>
      <c r="E15" s="18" t="n">
        <v>3</v>
      </c>
    </row>
    <row r="16" customFormat="false" ht="15" hidden="false" customHeight="true" outlineLevel="0" collapsed="false">
      <c r="A16" s="3" t="s">
        <v>141</v>
      </c>
      <c r="B16" s="18" t="n">
        <f aca="false">IFERROR(ROUND((C13*1+C14*2+C15*3)/(B13*1+B14*2+B15*3)*100,0),"")</f>
        <v>0</v>
      </c>
      <c r="E16" s="19" t="s">
        <v>142</v>
      </c>
    </row>
    <row r="17" customFormat="false" ht="15" hidden="false" customHeight="true" outlineLevel="0" collapsed="false">
      <c r="A17" s="3" t="s">
        <v>143</v>
      </c>
      <c r="B17" s="18" t="str">
        <f aca="false">IF(B16="","",IF(B16&gt;=95,"A'lo (Exceptional)",IF(B16&gt;=85,"Juda yaxshi (Advanced)",IF(B16&gt;=70,"Yaxshi (Proficient)",IF(B16&gt;=55,"Asosiy (Basic)",IF(B16&gt;=40,"Yuzaki (Limited)","Jiddiy qo'llab"))))))</f>
        <v>Jiddiy qo'llab</v>
      </c>
    </row>
    <row r="19" customFormat="false" ht="15" hidden="false" customHeight="true" outlineLevel="0" collapsed="false">
      <c r="A19" s="16" t="s">
        <v>144</v>
      </c>
      <c r="B19" s="17"/>
      <c r="C19" s="17"/>
      <c r="D19" s="17"/>
      <c r="E19" s="17"/>
    </row>
    <row r="20" customFormat="false" ht="15" hidden="false" customHeight="true" outlineLevel="0" collapsed="false">
      <c r="A20" s="3" t="s">
        <v>145</v>
      </c>
      <c r="B20" s="18" t="n">
        <f aca="false">IFERROR(ROUND((B9+B16+D15)/3,0),"")</f>
        <v>0</v>
      </c>
      <c r="E20" s="19" t="s">
        <v>146</v>
      </c>
    </row>
    <row r="22" customFormat="false" ht="15" hidden="false" customHeight="true" outlineLevel="0" collapsed="false">
      <c r="A22" s="16" t="s">
        <v>147</v>
      </c>
      <c r="B22" s="17"/>
      <c r="C22" s="17"/>
      <c r="D22" s="17"/>
      <c r="E22" s="17"/>
    </row>
    <row r="23" customFormat="false" ht="15" hidden="false" customHeight="true" outlineLevel="0" collapsed="false">
      <c r="A23" s="2" t="s">
        <v>136</v>
      </c>
      <c r="B23" s="2" t="s">
        <v>148</v>
      </c>
      <c r="C23" s="2" t="s">
        <v>138</v>
      </c>
      <c r="D23" s="2" t="s">
        <v>139</v>
      </c>
    </row>
    <row r="24" customFormat="false" ht="15" hidden="false" customHeight="true" outlineLevel="0" collapsed="false">
      <c r="A24" s="3" t="s">
        <v>40</v>
      </c>
      <c r="B24" s="1" t="n">
        <f aca="false">COUNTIF(Savollar!$D$2:$D$26,"Son va amallar")</f>
        <v>16</v>
      </c>
      <c r="C24" s="1" t="n">
        <f aca="false">COUNTIFS(Savollar!$D$2:$D$26,"Son va amallar",Savollar!$L$2:$L$26,"To'g'ri")</f>
        <v>0</v>
      </c>
      <c r="D24" s="1" t="n">
        <f aca="false">IFERROR(ROUND(C24/B24*100,0),"")</f>
        <v>0</v>
      </c>
    </row>
    <row r="25" customFormat="false" ht="15" hidden="false" customHeight="true" outlineLevel="0" collapsed="false">
      <c r="A25" s="3" t="s">
        <v>69</v>
      </c>
      <c r="B25" s="1" t="n">
        <f aca="false">COUNTIF(Savollar!$D$2:$D$26,"Geometriya va o'lchov")</f>
        <v>6</v>
      </c>
      <c r="C25" s="1" t="n">
        <f aca="false">COUNTIFS(Savollar!$D$2:$D$26,"Geometriya va o'lchov",Savollar!$L$2:$L$26,"To'g'ri")</f>
        <v>0</v>
      </c>
      <c r="D25" s="1" t="n">
        <f aca="false">IFERROR(ROUND(C25/B25*100,0),"")</f>
        <v>0</v>
      </c>
    </row>
    <row r="26" customFormat="false" ht="15" hidden="false" customHeight="true" outlineLevel="0" collapsed="false">
      <c r="A26" s="3" t="s">
        <v>88</v>
      </c>
      <c r="B26" s="1" t="n">
        <f aca="false">COUNTIF(Savollar!$D$2:$D$26,"Mantiq va muammo yechish")</f>
        <v>3</v>
      </c>
      <c r="C26" s="1" t="n">
        <f aca="false">COUNTIFS(Savollar!$D$2:$D$26,"Mantiq va muammo yechish",Savollar!$L$2:$L$26,"To'g'ri")</f>
        <v>0</v>
      </c>
      <c r="D26" s="1" t="n">
        <f aca="false">IFERROR(ROUND(C26/B26*100,0),"")</f>
        <v>0</v>
      </c>
    </row>
    <row r="28" customFormat="false" ht="15" hidden="false" customHeight="true" outlineLevel="0" collapsed="false">
      <c r="A28" s="16" t="s">
        <v>149</v>
      </c>
      <c r="B28" s="17"/>
      <c r="C28" s="17"/>
      <c r="D28" s="17"/>
      <c r="E28" s="17"/>
    </row>
    <row r="29" customFormat="false" ht="15" hidden="false" customHeight="true" outlineLevel="0" collapsed="false">
      <c r="A29" s="2" t="s">
        <v>136</v>
      </c>
      <c r="B29" s="2" t="s">
        <v>148</v>
      </c>
      <c r="C29" s="2" t="s">
        <v>138</v>
      </c>
      <c r="D29" s="2" t="s">
        <v>139</v>
      </c>
    </row>
    <row r="30" customFormat="false" ht="15" hidden="false" customHeight="true" outlineLevel="0" collapsed="false">
      <c r="A30" s="3" t="s">
        <v>150</v>
      </c>
      <c r="B30" s="1" t="n">
        <f aca="false">COUNTIF(Savollar!$E$2:$E$26,"Joy qiymati")</f>
        <v>0</v>
      </c>
      <c r="C30" s="1" t="n">
        <f aca="false">COUNTIFS(Savollar!$E$2:$E$26,"Joy qiymati",Savollar!$L$2:$L$26,"To'g'ri")</f>
        <v>0</v>
      </c>
      <c r="D30" s="1" t="str">
        <f aca="false">IFERROR(ROUND(C30/B30*100,0),"")</f>
        <v/>
      </c>
    </row>
    <row r="31" customFormat="false" ht="15" hidden="false" customHeight="true" outlineLevel="0" collapsed="false">
      <c r="A31" s="3" t="s">
        <v>151</v>
      </c>
      <c r="B31" s="1" t="n">
        <f aca="false">COUNTIF(Savollar!$E$2:$E$26,"Arifmetika")</f>
        <v>0</v>
      </c>
      <c r="C31" s="1" t="n">
        <f aca="false">COUNTIFS(Savollar!$E$2:$E$26,"Arifmetika",Savollar!$L$2:$L$26,"To'g'ri")</f>
        <v>0</v>
      </c>
      <c r="D31" s="1" t="str">
        <f aca="false">IFERROR(ROUND(C31/B31*100,0),"")</f>
        <v/>
      </c>
    </row>
    <row r="32" customFormat="false" ht="15" hidden="false" customHeight="true" outlineLevel="0" collapsed="false">
      <c r="A32" s="3" t="s">
        <v>66</v>
      </c>
      <c r="B32" s="1" t="n">
        <f aca="false">COUNTIF(Savollar!$E$2:$E$26,"O'nli kasr")</f>
        <v>1</v>
      </c>
      <c r="C32" s="1" t="n">
        <f aca="false">COUNTIFS(Savollar!$E$2:$E$26,"O'nli kasr",Savollar!$L$2:$L$26,"To'g'ri")</f>
        <v>0</v>
      </c>
      <c r="D32" s="1" t="n">
        <f aca="false">IFERROR(ROUND(C32/B32*100,0),"")</f>
        <v>0</v>
      </c>
    </row>
    <row r="33" customFormat="false" ht="15" hidden="false" customHeight="true" outlineLevel="0" collapsed="false">
      <c r="A33" s="3" t="s">
        <v>61</v>
      </c>
      <c r="B33" s="1" t="n">
        <f aca="false">COUNTIF(Savollar!$E$2:$E$26,"Foiz")</f>
        <v>3</v>
      </c>
      <c r="C33" s="1" t="n">
        <f aca="false">COUNTIFS(Savollar!$E$2:$E$26,"Foiz",Savollar!$L$2:$L$26,"To'g'ri")</f>
        <v>0</v>
      </c>
      <c r="D33" s="1" t="n">
        <f aca="false">IFERROR(ROUND(C33/B33*100,0),"")</f>
        <v>0</v>
      </c>
    </row>
    <row r="34" customFormat="false" ht="15" hidden="false" customHeight="true" outlineLevel="0" collapsed="false">
      <c r="A34" s="3" t="s">
        <v>54</v>
      </c>
      <c r="B34" s="1" t="n">
        <f aca="false">COUNTIF(Savollar!$E$2:$E$26,"Kasr amallari")</f>
        <v>4</v>
      </c>
      <c r="C34" s="1" t="n">
        <f aca="false">COUNTIFS(Savollar!$E$2:$E$26,"Kasr amallari",Savollar!$L$2:$L$26,"To'g'ri")</f>
        <v>0</v>
      </c>
      <c r="D34" s="1" t="n">
        <f aca="false">IFERROR(ROUND(C34/B34*100,0),"")</f>
        <v>0</v>
      </c>
    </row>
    <row r="35" customFormat="false" ht="15" hidden="false" customHeight="true" outlineLevel="0" collapsed="false">
      <c r="A35" s="3" t="s">
        <v>152</v>
      </c>
      <c r="B35" s="1" t="n">
        <f aca="false">COUNTIF(Savollar!$E$2:$E$26,"O'lchash")</f>
        <v>0</v>
      </c>
      <c r="C35" s="1" t="n">
        <f aca="false">COUNTIFS(Savollar!$E$2:$E$26,"O'lchash",Savollar!$L$2:$L$26,"To'g'ri")</f>
        <v>0</v>
      </c>
      <c r="D35" s="1" t="str">
        <f aca="false">IFERROR(ROUND(C35/B35*100,0),"")</f>
        <v/>
      </c>
    </row>
    <row r="36" customFormat="false" ht="15" hidden="false" customHeight="true" outlineLevel="0" collapsed="false">
      <c r="A36" s="3" t="s">
        <v>70</v>
      </c>
      <c r="B36" s="1" t="n">
        <f aca="false">COUNTIF(Savollar!$E$2:$E$26,"Geometriya")</f>
        <v>6</v>
      </c>
      <c r="C36" s="1" t="n">
        <f aca="false">COUNTIFS(Savollar!$E$2:$E$26,"Geometriya",Savollar!$L$2:$L$26,"To'g'ri")</f>
        <v>0</v>
      </c>
      <c r="D36" s="1" t="n">
        <f aca="false">IFERROR(ROUND(C36/B36*100,0),"")</f>
        <v>0</v>
      </c>
    </row>
    <row r="37" customFormat="false" ht="15" hidden="false" customHeight="true" outlineLevel="0" collapsed="false">
      <c r="A37" s="3" t="s">
        <v>106</v>
      </c>
      <c r="B37" s="1" t="n">
        <f aca="false">COUNTIF(Savollar!$E$2:$E$26,"Qonuniyat")</f>
        <v>1</v>
      </c>
      <c r="C37" s="1" t="n">
        <f aca="false">COUNTIFS(Savollar!$E$2:$E$26,"Qonuniyat",Savollar!$L$2:$L$26,"To'g'ri")</f>
        <v>0</v>
      </c>
      <c r="D37" s="1" t="n">
        <f aca="false">IFERROR(ROUND(C37/B37*100,0),"")</f>
        <v>0</v>
      </c>
    </row>
    <row r="38" customFormat="false" ht="15" hidden="false" customHeight="true" outlineLevel="0" collapsed="false">
      <c r="A38" s="3" t="s">
        <v>58</v>
      </c>
      <c r="B38" s="1" t="n">
        <f aca="false">COUNTIF(Savollar!$E$2:$E$26,"Nisbat va proporsiya")</f>
        <v>4</v>
      </c>
      <c r="C38" s="1" t="n">
        <f aca="false">COUNTIFS(Savollar!$E$2:$E$26,"Nisbat va proporsiya",Savollar!$L$2:$L$26,"To'g'ri")</f>
        <v>0</v>
      </c>
      <c r="D38" s="1" t="n">
        <f aca="false">IFERROR(ROUND(C38/B38*100,0),"")</f>
        <v>0</v>
      </c>
    </row>
    <row r="39" customFormat="false" ht="15" hidden="false" customHeight="true" outlineLevel="0" collapsed="false">
      <c r="A39" s="3" t="s">
        <v>89</v>
      </c>
      <c r="B39" s="1" t="n">
        <f aca="false">COUNTIF(Savollar!$E$2:$E$26,"So'zli masala")</f>
        <v>2</v>
      </c>
      <c r="C39" s="1" t="n">
        <f aca="false">COUNTIFS(Savollar!$E$2:$E$26,"So'zli masala",Savollar!$L$2:$L$26,"To'g'ri")</f>
        <v>0</v>
      </c>
      <c r="D39" s="1" t="n">
        <f aca="false">IFERROR(ROUND(C39/B39*100,0),"")</f>
        <v>0</v>
      </c>
    </row>
    <row r="40" customFormat="false" ht="15" hidden="false" customHeight="false" outlineLevel="0" collapsed="false">
      <c r="A40" s="1" t="s">
        <v>41</v>
      </c>
      <c r="B40" s="1" t="n">
        <f aca="false">COUNTIF(Savollar!$E$2:$E$26,"Algebra")</f>
        <v>4</v>
      </c>
      <c r="C40" s="1" t="n">
        <f aca="false">COUNTIFS(Savollar!$E$2:$E$26,"Algebra",Savollar!$L$2:$L$26,"To'g'ri")</f>
        <v>0</v>
      </c>
      <c r="D40" s="1" t="n">
        <f aca="false">IFERROR(ROUND(C40/B40*100,0),"")</f>
        <v>0</v>
      </c>
    </row>
    <row r="41" customFormat="false" ht="15" hidden="false" customHeight="true" outlineLevel="0" collapsed="false">
      <c r="A41" s="16" t="s">
        <v>153</v>
      </c>
      <c r="B41" s="17"/>
      <c r="C41" s="17"/>
      <c r="D41" s="17"/>
      <c r="E41" s="17"/>
    </row>
    <row r="42" customFormat="false" ht="15" hidden="false" customHeight="true" outlineLevel="0" collapsed="false">
      <c r="A42" s="2" t="s">
        <v>136</v>
      </c>
      <c r="B42" s="2" t="s">
        <v>148</v>
      </c>
      <c r="C42" s="2" t="s">
        <v>138</v>
      </c>
      <c r="D42" s="2" t="s">
        <v>139</v>
      </c>
    </row>
    <row r="43" customFormat="false" ht="15" hidden="false" customHeight="true" outlineLevel="0" collapsed="false">
      <c r="A43" s="3" t="s">
        <v>51</v>
      </c>
      <c r="B43" s="1" t="n">
        <f aca="false">COUNTIF(Savollar!$G$2:$G$26,"Protsedural ravonlik")</f>
        <v>8</v>
      </c>
      <c r="C43" s="1" t="n">
        <f aca="false">COUNTIFS(Savollar!$G$2:$G$26,"Protsedural ravonlik",Savollar!$L$2:$L$26,"To'g'ri")</f>
        <v>0</v>
      </c>
      <c r="D43" s="1" t="n">
        <f aca="false">IFERROR(ROUND(C43/B43*100,0),"")</f>
        <v>0</v>
      </c>
    </row>
    <row r="44" customFormat="false" ht="15" hidden="false" customHeight="true" outlineLevel="0" collapsed="false">
      <c r="A44" s="3" t="s">
        <v>43</v>
      </c>
      <c r="B44" s="1" t="n">
        <f aca="false">COUNTIF(Savollar!$G$2:$G$26,"Konseptual tushunish")</f>
        <v>9</v>
      </c>
      <c r="C44" s="1" t="n">
        <f aca="false">COUNTIFS(Savollar!$G$2:$G$26,"Konseptual tushunish",Savollar!$L$2:$L$26,"To'g'ri")</f>
        <v>0</v>
      </c>
      <c r="D44" s="1" t="n">
        <f aca="false">IFERROR(ROUND(C44/B44*100,0),"")</f>
        <v>0</v>
      </c>
    </row>
    <row r="45" customFormat="false" ht="15" hidden="false" customHeight="true" outlineLevel="0" collapsed="false">
      <c r="A45" s="3" t="s">
        <v>97</v>
      </c>
      <c r="B45" s="1" t="n">
        <f aca="false">COUNTIF(Savollar!$G$2:$G$26,"Muammo yechish")</f>
        <v>3</v>
      </c>
      <c r="C45" s="1" t="n">
        <f aca="false">COUNTIFS(Savollar!$G$2:$G$26,"Muammo yechish",Savollar!$L$2:$L$26,"To'g'ri")</f>
        <v>0</v>
      </c>
      <c r="D45" s="1" t="n">
        <f aca="false">IFERROR(ROUND(C45/B45*100,0),"")</f>
        <v>0</v>
      </c>
    </row>
    <row r="46" customFormat="false" ht="15" hidden="false" customHeight="true" outlineLevel="0" collapsed="false">
      <c r="A46" s="3" t="s">
        <v>91</v>
      </c>
      <c r="B46" s="1" t="n">
        <f aca="false">COUNTIF(Savollar!$G$2:$G$26,"Mantiqiy xulosa")</f>
        <v>2</v>
      </c>
      <c r="C46" s="1" t="n">
        <f aca="false">COUNTIFS(Savollar!$G$2:$G$26,"Mantiqiy xulosa",Savollar!$L$2:$L$26,"To'g'ri")</f>
        <v>0</v>
      </c>
      <c r="D46" s="1" t="n">
        <f aca="false">IFERROR(ROUND(C46/B46*100,0),"")</f>
        <v>0</v>
      </c>
    </row>
    <row r="47" customFormat="false" ht="15" hidden="false" customHeight="true" outlineLevel="0" collapsed="false">
      <c r="A47" s="3" t="s">
        <v>121</v>
      </c>
      <c r="B47" s="1" t="n">
        <f aca="false">COUNTIF(Savollar!$G$2:$G$26,"Fazoviy fikrlash")</f>
        <v>1</v>
      </c>
      <c r="C47" s="1" t="n">
        <f aca="false">COUNTIFS(Savollar!$G$2:$G$26,"Fazoviy fikrlash",Savollar!$L$2:$L$26,"To'g'ri")</f>
        <v>0</v>
      </c>
      <c r="D47" s="1" t="n">
        <f aca="false">IFERROR(ROUND(C47/B47*100,0),"")</f>
        <v>0</v>
      </c>
    </row>
    <row r="48" customFormat="false" ht="15" hidden="false" customHeight="true" outlineLevel="0" collapsed="false">
      <c r="A48" s="3" t="s">
        <v>100</v>
      </c>
      <c r="B48" s="1" t="n">
        <f aca="false">COUNTIF(Savollar!$G$2:$G$26,"Modellashtirish")</f>
        <v>1</v>
      </c>
      <c r="C48" s="1" t="n">
        <f aca="false">COUNTIFS(Savollar!$G$2:$G$26,"Modellashtirish",Savollar!$L$2:$L$26,"To'g'ri")</f>
        <v>0</v>
      </c>
      <c r="D48" s="1" t="n">
        <f aca="false">IFERROR(ROUND(C48/B48*100,0),"")</f>
        <v>0</v>
      </c>
    </row>
    <row r="49" customFormat="false" ht="15" hidden="false" customHeight="true" outlineLevel="0" collapsed="false">
      <c r="A49" s="3" t="s">
        <v>86</v>
      </c>
      <c r="B49" s="1" t="n">
        <f aca="false">COUNTIF(Savollar!$G$2:$G$26,"Hisoblash aniqligi")</f>
        <v>1</v>
      </c>
      <c r="C49" s="1" t="n">
        <f aca="false">COUNTIFS(Savollar!$G$2:$G$26,"Hisoblash aniqligi",Savollar!$L$2:$L$26,"To'g'ri")</f>
        <v>0</v>
      </c>
      <c r="D49" s="1" t="n">
        <f aca="false">IFERROR(ROUND(C49/B49*100,0),"")</f>
        <v>0</v>
      </c>
    </row>
    <row r="50" customFormat="false" ht="15" hidden="false" customHeight="true" outlineLevel="0" collapsed="false">
      <c r="A50" s="20" t="s">
        <v>154</v>
      </c>
      <c r="B50" s="20"/>
      <c r="C50" s="20"/>
      <c r="D50" s="20"/>
      <c r="E50" s="20"/>
    </row>
    <row r="52" customFormat="false" ht="15" hidden="false" customHeight="true" outlineLevel="0" collapsed="false">
      <c r="A52" s="16" t="s">
        <v>155</v>
      </c>
      <c r="B52" s="17"/>
      <c r="C52" s="17"/>
      <c r="D52" s="17"/>
      <c r="E52" s="17"/>
    </row>
    <row r="53" customFormat="false" ht="15" hidden="false" customHeight="true" outlineLevel="0" collapsed="false">
      <c r="A53" s="2" t="s">
        <v>136</v>
      </c>
      <c r="B53" s="2" t="s">
        <v>148</v>
      </c>
      <c r="C53" s="2" t="s">
        <v>138</v>
      </c>
      <c r="D53" s="2" t="s">
        <v>139</v>
      </c>
    </row>
    <row r="54" customFormat="false" ht="15" hidden="false" customHeight="true" outlineLevel="0" collapsed="false">
      <c r="A54" s="3" t="s">
        <v>156</v>
      </c>
      <c r="B54" s="1" t="n">
        <f aca="false">COUNTIF(Savollar!$H$2:$H$26,"Eslab qolish")</f>
        <v>0</v>
      </c>
      <c r="C54" s="1" t="n">
        <f aca="false">COUNTIFS(Savollar!$H$2:$H$26,"Eslab qolish",Savollar!$L$2:$L$26,"To'g'ri")</f>
        <v>0</v>
      </c>
      <c r="D54" s="1" t="str">
        <f aca="false">IFERROR(ROUND(C54/B54*100,0),"")</f>
        <v/>
      </c>
    </row>
    <row r="55" customFormat="false" ht="15" hidden="false" customHeight="true" outlineLevel="0" collapsed="false">
      <c r="A55" s="3" t="s">
        <v>44</v>
      </c>
      <c r="B55" s="1" t="n">
        <f aca="false">COUNTIF(Savollar!$H$2:$H$26,"Tushunish")</f>
        <v>3</v>
      </c>
      <c r="C55" s="1" t="n">
        <f aca="false">COUNTIFS(Savollar!$H$2:$H$26,"Tushunish",Savollar!$L$2:$L$26,"To'g'ri")</f>
        <v>0</v>
      </c>
      <c r="D55" s="1" t="n">
        <f aca="false">IFERROR(ROUND(C55/B55*100,0),"")</f>
        <v>0</v>
      </c>
    </row>
    <row r="56" customFormat="false" ht="15" hidden="false" customHeight="true" outlineLevel="0" collapsed="false">
      <c r="A56" s="3" t="s">
        <v>52</v>
      </c>
      <c r="B56" s="1" t="n">
        <f aca="false">COUNTIF(Savollar!$H$2:$H$26,"Qo'llash")</f>
        <v>16</v>
      </c>
      <c r="C56" s="1" t="n">
        <f aca="false">COUNTIFS(Savollar!$H$2:$H$26,"Qo'llash",Savollar!$L$2:$L$26,"To'g'ri")</f>
        <v>0</v>
      </c>
      <c r="D56" s="1" t="n">
        <f aca="false">IFERROR(ROUND(C56/B56*100,0),"")</f>
        <v>0</v>
      </c>
    </row>
    <row r="57" customFormat="false" ht="15" hidden="false" customHeight="true" outlineLevel="0" collapsed="false">
      <c r="A57" s="3" t="s">
        <v>92</v>
      </c>
      <c r="B57" s="1" t="n">
        <f aca="false">COUNTIF(Savollar!$H$2:$H$26,"Tahlil")</f>
        <v>6</v>
      </c>
      <c r="C57" s="1" t="n">
        <f aca="false">COUNTIFS(Savollar!$H$2:$H$26,"Tahlil",Savollar!$L$2:$L$26,"To'g'ri")</f>
        <v>0</v>
      </c>
      <c r="D57" s="1" t="n">
        <f aca="false">IFERROR(ROUND(C57/B57*100,0),"")</f>
        <v>0</v>
      </c>
    </row>
    <row r="58" customFormat="false" ht="15" hidden="false" customHeight="true" outlineLevel="0" collapsed="false">
      <c r="A58" s="3" t="s">
        <v>157</v>
      </c>
      <c r="B58" s="1" t="n">
        <f aca="false">COUNTIF(Savollar!$H$2:$H$26,"Baholash")</f>
        <v>0</v>
      </c>
      <c r="C58" s="1" t="n">
        <f aca="false">COUNTIFS(Savollar!$H$2:$H$26,"Baholash",Savollar!$L$2:$L$26,"To'g'ri")</f>
        <v>0</v>
      </c>
      <c r="D58" s="1" t="str">
        <f aca="false">IFERROR(ROUND(C58/B58*100,0),"")</f>
        <v/>
      </c>
    </row>
    <row r="59" customFormat="false" ht="15" hidden="false" customHeight="true" outlineLevel="0" collapsed="false">
      <c r="A59" s="3" t="s">
        <v>158</v>
      </c>
      <c r="B59" s="1" t="n">
        <f aca="false">COUNTIF(Savollar!$H$2:$H$26,"Yaratish")</f>
        <v>0</v>
      </c>
      <c r="C59" s="1" t="n">
        <f aca="false">COUNTIFS(Savollar!$H$2:$H$26,"Yaratish",Savollar!$L$2:$L$26,"To'g'ri")</f>
        <v>0</v>
      </c>
      <c r="D59" s="1" t="str">
        <f aca="false">IFERROR(ROUND(C59/B59*100,0),"")</f>
        <v/>
      </c>
    </row>
    <row r="61" customFormat="false" ht="15" hidden="false" customHeight="true" outlineLevel="0" collapsed="false">
      <c r="A61" s="16" t="s">
        <v>159</v>
      </c>
      <c r="B61" s="17"/>
      <c r="C61" s="17"/>
      <c r="D61" s="17"/>
      <c r="E61" s="17"/>
    </row>
    <row r="62" customFormat="false" ht="15" hidden="false" customHeight="true" outlineLevel="0" collapsed="false">
      <c r="A62" s="2" t="s">
        <v>136</v>
      </c>
      <c r="B62" s="2" t="s">
        <v>148</v>
      </c>
      <c r="C62" s="2" t="s">
        <v>138</v>
      </c>
      <c r="D62" s="2" t="s">
        <v>139</v>
      </c>
    </row>
    <row r="63" customFormat="false" ht="15" hidden="false" customHeight="true" outlineLevel="0" collapsed="false">
      <c r="A63" s="3" t="s">
        <v>93</v>
      </c>
      <c r="B63" s="1" t="n">
        <f aca="false">COUNTIF(Savollar!$I$2:$I$26,"Deduktiv")</f>
        <v>1</v>
      </c>
      <c r="C63" s="1" t="n">
        <f aca="false">COUNTIFS(Savollar!$I$2:$I$26,"Deduktiv",Savollar!$L$2:$L$26,"To'g'ri")</f>
        <v>0</v>
      </c>
      <c r="D63" s="1" t="n">
        <f aca="false">IFERROR(ROUND(C63/B63*100,0),"")</f>
        <v>0</v>
      </c>
    </row>
    <row r="64" customFormat="false" ht="15" hidden="false" customHeight="true" outlineLevel="0" collapsed="false">
      <c r="A64" s="3" t="s">
        <v>108</v>
      </c>
      <c r="B64" s="1" t="n">
        <f aca="false">COUNTIF(Savollar!$I$2:$I$26,"Induktiv")</f>
        <v>1</v>
      </c>
      <c r="C64" s="1" t="n">
        <f aca="false">COUNTIFS(Savollar!$I$2:$I$26,"Induktiv",Savollar!$L$2:$L$26,"To'g'ri")</f>
        <v>0</v>
      </c>
      <c r="D64" s="1" t="n">
        <f aca="false">IFERROR(ROUND(C64/B64*100,0),"")</f>
        <v>0</v>
      </c>
    </row>
    <row r="65" customFormat="false" ht="15" hidden="false" customHeight="true" outlineLevel="0" collapsed="false">
      <c r="A65" s="3" t="s">
        <v>45</v>
      </c>
      <c r="B65" s="1" t="n">
        <f aca="false">COUNTIF(Savollar!$I$2:$I$26,"Analitik")</f>
        <v>22</v>
      </c>
      <c r="C65" s="1" t="n">
        <f aca="false">COUNTIFS(Savollar!$I$2:$I$26,"Analitik",Savollar!$L$2:$L$26,"To'g'ri")</f>
        <v>0</v>
      </c>
      <c r="D65" s="1" t="n">
        <f aca="false">IFERROR(ROUND(C65/B65*100,0),"")</f>
        <v>0</v>
      </c>
    </row>
    <row r="66" customFormat="false" ht="15" hidden="false" customHeight="true" outlineLevel="0" collapsed="false">
      <c r="A66" s="3" t="s">
        <v>122</v>
      </c>
      <c r="B66" s="1" t="n">
        <f aca="false">COUNTIF(Savollar!$I$2:$I$26,"Fazoviy")</f>
        <v>1</v>
      </c>
      <c r="C66" s="1" t="n">
        <f aca="false">COUNTIFS(Savollar!$I$2:$I$26,"Fazoviy",Savollar!$L$2:$L$26,"To'g'ri")</f>
        <v>0</v>
      </c>
      <c r="D66" s="1" t="n">
        <f aca="false">IFERROR(ROUND(C66/B66*100,0),"")</f>
        <v>0</v>
      </c>
    </row>
    <row r="67" customFormat="false" ht="15" hidden="false" customHeight="true" outlineLevel="0" collapsed="false">
      <c r="A67" s="20" t="s">
        <v>160</v>
      </c>
      <c r="B67" s="20"/>
      <c r="C67" s="20"/>
      <c r="D67" s="20"/>
      <c r="E67" s="20"/>
    </row>
    <row r="69" customFormat="false" ht="15" hidden="false" customHeight="true" outlineLevel="0" collapsed="false">
      <c r="A69" s="16" t="s">
        <v>161</v>
      </c>
      <c r="B69" s="17"/>
      <c r="C69" s="17"/>
      <c r="D69" s="17"/>
      <c r="E69" s="17"/>
    </row>
    <row r="70" customFormat="false" ht="15" hidden="false" customHeight="true" outlineLevel="0" collapsed="false">
      <c r="A70" s="2" t="s">
        <v>136</v>
      </c>
      <c r="B70" s="2" t="s">
        <v>148</v>
      </c>
      <c r="C70" s="2" t="s">
        <v>138</v>
      </c>
      <c r="D70" s="2" t="s">
        <v>139</v>
      </c>
    </row>
    <row r="71" customFormat="false" ht="15" hidden="false" customHeight="true" outlineLevel="0" collapsed="false">
      <c r="A71" s="3" t="s">
        <v>162</v>
      </c>
      <c r="B71" s="1" t="n">
        <f aca="false">COUNTIF(Savollar!$J$2:$J$26,"7-dan past")</f>
        <v>0</v>
      </c>
      <c r="C71" s="1" t="n">
        <f aca="false">COUNTIFS(Savollar!$J$2:$J$26,"7-dan past",Savollar!$L$2:$L$26,"To'g'ri")</f>
        <v>0</v>
      </c>
      <c r="D71" s="1" t="str">
        <f aca="false">IFERROR(ROUND(C71/B71*100,0),"")</f>
        <v/>
      </c>
    </row>
    <row r="72" customFormat="false" ht="15" hidden="false" customHeight="true" outlineLevel="0" collapsed="false">
      <c r="A72" s="3" t="s">
        <v>46</v>
      </c>
      <c r="B72" s="1" t="n">
        <f aca="false">COUNTIF(Savollar!$J$2:$J$26,"7-sinf")</f>
        <v>25</v>
      </c>
      <c r="C72" s="1" t="n">
        <f aca="false">COUNTIFS(Savollar!$J$2:$J$26,"7-sinf",Savollar!$L$2:$L$26,"To'g'ri")</f>
        <v>0</v>
      </c>
      <c r="D72" s="1" t="n">
        <f aca="false">IFERROR(ROUND(C72/B72*100,0),"")</f>
        <v>0</v>
      </c>
    </row>
    <row r="73" customFormat="false" ht="15" hidden="false" customHeight="true" outlineLevel="0" collapsed="false">
      <c r="A73" s="3" t="s">
        <v>163</v>
      </c>
      <c r="B73" s="1" t="n">
        <f aca="false">COUNTIF(Savollar!$J$2:$J$26,"7-dan yuqori")</f>
        <v>0</v>
      </c>
      <c r="C73" s="1" t="n">
        <f aca="false">COUNTIFS(Savollar!$J$2:$J$26,"7-dan yuqori",Savollar!$L$2:$L$26,"To'g'ri")</f>
        <v>0</v>
      </c>
      <c r="D73" s="1" t="str">
        <f aca="false">IFERROR(ROUND(C73/B73*100,0),"")</f>
        <v/>
      </c>
    </row>
    <row r="75" customFormat="false" ht="15" hidden="false" customHeight="true" outlineLevel="0" collapsed="false">
      <c r="A75" s="16" t="s">
        <v>164</v>
      </c>
      <c r="B75" s="17"/>
      <c r="C75" s="17"/>
      <c r="D75" s="17"/>
      <c r="E75" s="17"/>
    </row>
    <row r="76" customFormat="false" ht="15" hidden="false" customHeight="true" outlineLevel="0" collapsed="false">
      <c r="A76" s="2" t="s">
        <v>165</v>
      </c>
      <c r="B76" s="2" t="s">
        <v>148</v>
      </c>
    </row>
    <row r="77" customFormat="false" ht="15" hidden="false" customHeight="true" outlineLevel="0" collapsed="false">
      <c r="A77" s="3" t="s">
        <v>81</v>
      </c>
      <c r="B77" s="18" t="n">
        <f aca="false">COUNTIF(Savollar!$K$2:$K$26,"PISA: Miqdor")</f>
        <v>4</v>
      </c>
    </row>
    <row r="78" customFormat="false" ht="15" hidden="false" customHeight="true" outlineLevel="0" collapsed="false">
      <c r="A78" s="3" t="s">
        <v>101</v>
      </c>
      <c r="B78" s="18" t="n">
        <f aca="false">COUNTIF(Savollar!$K$2:$K$26,"PISA: O'zgarish")</f>
        <v>1</v>
      </c>
    </row>
    <row r="79" customFormat="false" ht="15" hidden="false" customHeight="true" outlineLevel="0" collapsed="false">
      <c r="A79" s="3" t="s">
        <v>123</v>
      </c>
      <c r="B79" s="18" t="n">
        <f aca="false">COUNTIF(Savollar!$K$2:$K$26,"PISA: Fazo va shakl")</f>
        <v>1</v>
      </c>
    </row>
    <row r="80" customFormat="false" ht="15" hidden="false" customHeight="true" outlineLevel="0" collapsed="false">
      <c r="A80" s="3" t="s">
        <v>166</v>
      </c>
      <c r="B80" s="18" t="n">
        <f aca="false">COUNTIF(Savollar!$K$2:$K$26,"PISA: Noaniqlik")</f>
        <v>0</v>
      </c>
    </row>
    <row r="81" customFormat="false" ht="15" hidden="false" customHeight="true" outlineLevel="0" collapsed="false">
      <c r="A81" s="3" t="s">
        <v>56</v>
      </c>
      <c r="B81" s="18" t="n">
        <f aca="false">COUNTIF(Savollar!$K$2:$K$26,"TIMSS: Number")</f>
        <v>7</v>
      </c>
    </row>
    <row r="82" customFormat="false" ht="15" hidden="false" customHeight="true" outlineLevel="0" collapsed="false">
      <c r="A82" s="3" t="s">
        <v>47</v>
      </c>
      <c r="B82" s="18" t="n">
        <f aca="false">COUNTIF(Savollar!$K$2:$K$26,"TIMSS: Algebra")</f>
        <v>6</v>
      </c>
    </row>
    <row r="83" customFormat="false" ht="15" hidden="false" customHeight="true" outlineLevel="0" collapsed="false">
      <c r="A83" s="3" t="s">
        <v>72</v>
      </c>
      <c r="B83" s="18" t="n">
        <f aca="false">COUNTIF(Savollar!$K$2:$K$26,"TIMSS: Geometry")</f>
        <v>5</v>
      </c>
    </row>
    <row r="84" customFormat="false" ht="15" hidden="false" customHeight="true" outlineLevel="0" collapsed="false">
      <c r="A84" s="3" t="s">
        <v>167</v>
      </c>
      <c r="B84" s="18" t="n">
        <f aca="false">COUNTIF(Savollar!$K$2:$K$26,"TIMSS: Data")</f>
        <v>0</v>
      </c>
    </row>
    <row r="85" customFormat="false" ht="15" hidden="false" customHeight="true" outlineLevel="0" collapsed="false">
      <c r="A85" s="3" t="s">
        <v>168</v>
      </c>
      <c r="B85" s="18" t="n">
        <f aca="false">COUNTIF(Savollar!$K$2:$K$26,"Kangaroo: Arifmetika")</f>
        <v>0</v>
      </c>
    </row>
    <row r="86" customFormat="false" ht="15" hidden="false" customHeight="true" outlineLevel="0" collapsed="false">
      <c r="A86" s="3" t="s">
        <v>94</v>
      </c>
      <c r="B86" s="18" t="n">
        <f aca="false">COUNTIF(Savollar!$K$2:$K$26,"Kangaroo: Mantiq")</f>
        <v>1</v>
      </c>
    </row>
    <row r="87" customFormat="false" ht="15" hidden="false" customHeight="true" outlineLevel="0" collapsed="false">
      <c r="A87" s="3" t="s">
        <v>169</v>
      </c>
      <c r="B87" s="18" t="n">
        <f aca="false">COUNTIF(Savollar!$K$2:$K$26,"Kangaroo: Geometriya")</f>
        <v>0</v>
      </c>
    </row>
  </sheetData>
  <mergeCells count="2">
    <mergeCell ref="A50:E50"/>
    <mergeCell ref="A67:E6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26"/>
    <col collapsed="false" customWidth="true" hidden="false" outlineLevel="0" max="3" min="3" style="1" width="46"/>
    <col collapsed="false" customWidth="true" hidden="false" outlineLevel="0" max="4" min="4" style="1" width="22"/>
  </cols>
  <sheetData>
    <row r="1" customFormat="false" ht="15" hidden="false" customHeight="true" outlineLevel="0" collapsed="false">
      <c r="A1" s="21" t="s">
        <v>170</v>
      </c>
      <c r="B1" s="21"/>
      <c r="C1" s="21"/>
      <c r="D1" s="21"/>
    </row>
    <row r="2" customFormat="false" ht="15" hidden="false" customHeight="true" outlineLevel="0" collapsed="false">
      <c r="A2" s="22" t="s">
        <v>171</v>
      </c>
      <c r="B2" s="22" t="s">
        <v>172</v>
      </c>
      <c r="C2" s="22" t="s">
        <v>173</v>
      </c>
      <c r="D2" s="22" t="s">
        <v>174</v>
      </c>
    </row>
    <row r="3" customFormat="false" ht="15" hidden="false" customHeight="true" outlineLevel="0" collapsed="false">
      <c r="A3" s="23" t="s">
        <v>175</v>
      </c>
      <c r="B3" s="24" t="s">
        <v>176</v>
      </c>
      <c r="C3" s="24" t="s">
        <v>177</v>
      </c>
      <c r="D3" s="25" t="s">
        <v>178</v>
      </c>
    </row>
    <row r="4" customFormat="false" ht="15" hidden="false" customHeight="true" outlineLevel="0" collapsed="false">
      <c r="A4" s="23" t="s">
        <v>179</v>
      </c>
      <c r="B4" s="24" t="s">
        <v>180</v>
      </c>
      <c r="C4" s="24" t="s">
        <v>181</v>
      </c>
      <c r="D4" s="25" t="s">
        <v>178</v>
      </c>
    </row>
    <row r="5" customFormat="false" ht="15" hidden="false" customHeight="true" outlineLevel="0" collapsed="false">
      <c r="A5" s="23" t="s">
        <v>182</v>
      </c>
      <c r="B5" s="24" t="s">
        <v>180</v>
      </c>
      <c r="C5" s="24" t="s">
        <v>183</v>
      </c>
      <c r="D5" s="25" t="s">
        <v>178</v>
      </c>
    </row>
    <row r="6" customFormat="false" ht="15" hidden="false" customHeight="true" outlineLevel="0" collapsed="false">
      <c r="A6" s="23" t="s">
        <v>143</v>
      </c>
      <c r="B6" s="24" t="s">
        <v>184</v>
      </c>
      <c r="C6" s="24" t="s">
        <v>185</v>
      </c>
      <c r="D6" s="25" t="s">
        <v>178</v>
      </c>
    </row>
    <row r="7" customFormat="false" ht="15" hidden="false" customHeight="true" outlineLevel="0" collapsed="false">
      <c r="A7" s="23" t="s">
        <v>133</v>
      </c>
      <c r="B7" s="24" t="s">
        <v>186</v>
      </c>
      <c r="C7" s="24" t="s">
        <v>187</v>
      </c>
      <c r="D7" s="25" t="s">
        <v>178</v>
      </c>
    </row>
    <row r="8" customFormat="false" ht="15" hidden="false" customHeight="true" outlineLevel="0" collapsed="false">
      <c r="A8" s="23" t="s">
        <v>188</v>
      </c>
      <c r="B8" s="24" t="s">
        <v>189</v>
      </c>
      <c r="C8" s="24" t="s">
        <v>190</v>
      </c>
      <c r="D8" s="25" t="s">
        <v>178</v>
      </c>
    </row>
    <row r="9" customFormat="false" ht="15" hidden="false" customHeight="true" outlineLevel="0" collapsed="false">
      <c r="A9" s="23" t="s">
        <v>191</v>
      </c>
      <c r="B9" s="24" t="s">
        <v>192</v>
      </c>
      <c r="C9" s="24" t="s">
        <v>193</v>
      </c>
      <c r="D9" s="25" t="s">
        <v>178</v>
      </c>
    </row>
    <row r="10" customFormat="false" ht="15" hidden="false" customHeight="true" outlineLevel="0" collapsed="false">
      <c r="A10" s="23" t="s">
        <v>194</v>
      </c>
      <c r="B10" s="24" t="s">
        <v>195</v>
      </c>
      <c r="C10" s="24" t="s">
        <v>196</v>
      </c>
      <c r="D10" s="26" t="s">
        <v>197</v>
      </c>
    </row>
    <row r="11" customFormat="false" ht="15" hidden="false" customHeight="true" outlineLevel="0" collapsed="false">
      <c r="A11" s="23" t="s">
        <v>198</v>
      </c>
      <c r="B11" s="24" t="s">
        <v>199</v>
      </c>
      <c r="C11" s="24" t="s">
        <v>200</v>
      </c>
      <c r="D11" s="25" t="s">
        <v>178</v>
      </c>
    </row>
    <row r="12" customFormat="false" ht="15" hidden="false" customHeight="true" outlineLevel="0" collapsed="false">
      <c r="A12" s="23" t="s">
        <v>201</v>
      </c>
      <c r="B12" s="24" t="s">
        <v>202</v>
      </c>
      <c r="C12" s="24" t="s">
        <v>203</v>
      </c>
      <c r="D12" s="26" t="s">
        <v>197</v>
      </c>
    </row>
    <row r="13" customFormat="false" ht="15" hidden="false" customHeight="true" outlineLevel="0" collapsed="false">
      <c r="A13" s="23" t="s">
        <v>204</v>
      </c>
      <c r="B13" s="24" t="s">
        <v>205</v>
      </c>
      <c r="C13" s="24" t="s">
        <v>206</v>
      </c>
      <c r="D13" s="25" t="s">
        <v>178</v>
      </c>
    </row>
    <row r="14" customFormat="false" ht="15" hidden="false" customHeight="true" outlineLevel="0" collapsed="false">
      <c r="A14" s="23" t="s">
        <v>207</v>
      </c>
      <c r="B14" s="24" t="s">
        <v>22</v>
      </c>
      <c r="C14" s="24" t="s">
        <v>208</v>
      </c>
      <c r="D14" s="25" t="s">
        <v>178</v>
      </c>
    </row>
    <row r="15" customFormat="false" ht="15" hidden="false" customHeight="true" outlineLevel="0" collapsed="false">
      <c r="A15" s="23" t="s">
        <v>209</v>
      </c>
      <c r="B15" s="24" t="s">
        <v>210</v>
      </c>
      <c r="C15" s="24" t="s">
        <v>211</v>
      </c>
      <c r="D15" s="25" t="s">
        <v>178</v>
      </c>
    </row>
    <row r="16" customFormat="false" ht="15" hidden="false" customHeight="true" outlineLevel="0" collapsed="false">
      <c r="A16" s="23" t="s">
        <v>145</v>
      </c>
      <c r="B16" s="24" t="s">
        <v>212</v>
      </c>
      <c r="C16" s="24" t="s">
        <v>213</v>
      </c>
      <c r="D16" s="25" t="s">
        <v>214</v>
      </c>
    </row>
    <row r="17" customFormat="false" ht="15" hidden="false" customHeight="true" outlineLevel="0" collapsed="false">
      <c r="A17" s="23" t="s">
        <v>215</v>
      </c>
      <c r="B17" s="24" t="s">
        <v>30</v>
      </c>
      <c r="C17" s="24" t="s">
        <v>216</v>
      </c>
      <c r="D17" s="26" t="s">
        <v>217</v>
      </c>
    </row>
    <row r="18" customFormat="false" ht="15" hidden="false" customHeight="true" outlineLevel="0" collapsed="false">
      <c r="A18" s="23" t="s">
        <v>218</v>
      </c>
      <c r="B18" s="24" t="s">
        <v>219</v>
      </c>
      <c r="C18" s="24" t="s">
        <v>220</v>
      </c>
      <c r="D18" s="27" t="s">
        <v>221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3" min="2" style="1" width="12"/>
    <col collapsed="false" customWidth="true" hidden="false" outlineLevel="0" max="4" min="4" style="1" width="17"/>
    <col collapsed="false" customWidth="true" hidden="false" outlineLevel="0" max="5" min="5" style="1" width="16"/>
    <col collapsed="false" customWidth="true" hidden="false" outlineLevel="0" max="7" min="6" style="1" width="15"/>
    <col collapsed="false" customWidth="true" hidden="false" outlineLevel="0" max="8" min="8" style="1" width="19"/>
    <col collapsed="false" customWidth="true" hidden="false" outlineLevel="0" max="10" min="9" style="1" width="12"/>
  </cols>
  <sheetData>
    <row r="1" customFormat="false" ht="15" hidden="false" customHeight="true" outlineLevel="0" collapsed="false">
      <c r="A1" s="2" t="s">
        <v>6</v>
      </c>
      <c r="B1" s="2" t="s">
        <v>8</v>
      </c>
      <c r="C1" s="2" t="s">
        <v>10</v>
      </c>
      <c r="D1" s="2" t="s">
        <v>14</v>
      </c>
      <c r="E1" s="2" t="s">
        <v>16</v>
      </c>
      <c r="F1" s="2" t="s">
        <v>18</v>
      </c>
      <c r="G1" s="2" t="s">
        <v>20</v>
      </c>
      <c r="H1" s="2" t="s">
        <v>22</v>
      </c>
      <c r="I1" s="2" t="s">
        <v>24</v>
      </c>
      <c r="J1" s="2" t="s">
        <v>28</v>
      </c>
    </row>
    <row r="2" customFormat="false" ht="15" hidden="false" customHeight="true" outlineLevel="0" collapsed="false">
      <c r="A2" s="18" t="s">
        <v>49</v>
      </c>
      <c r="B2" s="18" t="s">
        <v>40</v>
      </c>
      <c r="C2" s="18" t="s">
        <v>150</v>
      </c>
      <c r="D2" s="18" t="s">
        <v>51</v>
      </c>
      <c r="E2" s="18" t="s">
        <v>156</v>
      </c>
      <c r="F2" s="18" t="s">
        <v>93</v>
      </c>
      <c r="G2" s="18" t="s">
        <v>162</v>
      </c>
      <c r="H2" s="18" t="s">
        <v>81</v>
      </c>
      <c r="I2" s="18" t="s">
        <v>138</v>
      </c>
      <c r="J2" s="18" t="s">
        <v>222</v>
      </c>
    </row>
    <row r="3" customFormat="false" ht="15" hidden="false" customHeight="true" outlineLevel="0" collapsed="false">
      <c r="A3" s="18" t="s">
        <v>39</v>
      </c>
      <c r="B3" s="18" t="s">
        <v>69</v>
      </c>
      <c r="C3" s="18" t="s">
        <v>151</v>
      </c>
      <c r="D3" s="18" t="s">
        <v>43</v>
      </c>
      <c r="E3" s="18" t="s">
        <v>44</v>
      </c>
      <c r="F3" s="18" t="s">
        <v>108</v>
      </c>
      <c r="G3" s="18" t="s">
        <v>46</v>
      </c>
      <c r="H3" s="18" t="s">
        <v>101</v>
      </c>
      <c r="I3" s="18" t="s">
        <v>223</v>
      </c>
      <c r="J3" s="18" t="s">
        <v>224</v>
      </c>
    </row>
    <row r="4" customFormat="false" ht="15" hidden="false" customHeight="true" outlineLevel="0" collapsed="false">
      <c r="A4" s="18" t="s">
        <v>103</v>
      </c>
      <c r="B4" s="18" t="s">
        <v>88</v>
      </c>
      <c r="C4" s="18" t="s">
        <v>66</v>
      </c>
      <c r="D4" s="18" t="s">
        <v>97</v>
      </c>
      <c r="E4" s="18" t="s">
        <v>52</v>
      </c>
      <c r="F4" s="18" t="s">
        <v>45</v>
      </c>
      <c r="G4" s="18" t="s">
        <v>163</v>
      </c>
      <c r="H4" s="18" t="s">
        <v>123</v>
      </c>
      <c r="I4" s="18" t="s">
        <v>225</v>
      </c>
      <c r="J4" s="18" t="s">
        <v>226</v>
      </c>
    </row>
    <row r="5" customFormat="false" ht="15" hidden="false" customHeight="true" outlineLevel="0" collapsed="false">
      <c r="C5" s="18" t="s">
        <v>61</v>
      </c>
      <c r="D5" s="18" t="s">
        <v>91</v>
      </c>
      <c r="E5" s="18" t="s">
        <v>92</v>
      </c>
      <c r="F5" s="18" t="s">
        <v>122</v>
      </c>
      <c r="H5" s="18" t="s">
        <v>166</v>
      </c>
    </row>
    <row r="6" customFormat="false" ht="15" hidden="false" customHeight="true" outlineLevel="0" collapsed="false">
      <c r="C6" s="18" t="s">
        <v>54</v>
      </c>
      <c r="D6" s="18" t="s">
        <v>121</v>
      </c>
      <c r="E6" s="18" t="s">
        <v>157</v>
      </c>
      <c r="F6" s="18" t="s">
        <v>222</v>
      </c>
      <c r="H6" s="18" t="s">
        <v>56</v>
      </c>
    </row>
    <row r="7" customFormat="false" ht="15" hidden="false" customHeight="true" outlineLevel="0" collapsed="false">
      <c r="C7" s="18" t="s">
        <v>152</v>
      </c>
      <c r="D7" s="18" t="s">
        <v>100</v>
      </c>
      <c r="E7" s="18" t="s">
        <v>158</v>
      </c>
      <c r="H7" s="18" t="s">
        <v>47</v>
      </c>
    </row>
    <row r="8" customFormat="false" ht="15" hidden="false" customHeight="true" outlineLevel="0" collapsed="false">
      <c r="C8" s="18" t="s">
        <v>70</v>
      </c>
      <c r="D8" s="18" t="s">
        <v>86</v>
      </c>
      <c r="H8" s="18" t="s">
        <v>72</v>
      </c>
    </row>
    <row r="9" customFormat="false" ht="15" hidden="false" customHeight="true" outlineLevel="0" collapsed="false">
      <c r="C9" s="18" t="s">
        <v>106</v>
      </c>
      <c r="H9" s="18" t="s">
        <v>167</v>
      </c>
    </row>
    <row r="10" customFormat="false" ht="15" hidden="false" customHeight="true" outlineLevel="0" collapsed="false">
      <c r="C10" s="18" t="s">
        <v>58</v>
      </c>
      <c r="H10" s="18" t="s">
        <v>168</v>
      </c>
    </row>
    <row r="11" customFormat="false" ht="15" hidden="false" customHeight="true" outlineLevel="0" collapsed="false">
      <c r="C11" s="18" t="s">
        <v>89</v>
      </c>
      <c r="H11" s="18" t="s">
        <v>94</v>
      </c>
    </row>
    <row r="12" customFormat="false" ht="15" hidden="false" customHeight="true" outlineLevel="0" collapsed="false">
      <c r="C12" s="1" t="s">
        <v>41</v>
      </c>
      <c r="H12" s="18" t="s">
        <v>169</v>
      </c>
    </row>
    <row r="13" customFormat="false" ht="15" hidden="false" customHeight="true" outlineLevel="0" collapsed="false">
      <c r="H13" s="18" t="s">
        <v>222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2026-06-27T11:15:31Z</dcterms:created>
  <dc:creator>openpyxl</dc:creator>
  <dc:description/>
  <dc:language>en-US</dc:language>
  <cp:lastModifiedBy/>
  <dcterms:modified xsi:type="dcterms:W3CDTF">2026-06-28T06:19:00Z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